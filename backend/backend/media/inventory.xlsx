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lac.sharepoint.com/sites/lcls/lcls-2-he/exp/shared_docs/XES Installation/Procurement and Assembly/Assembly Planning/"/>
    </mc:Choice>
  </mc:AlternateContent>
  <xr:revisionPtr revIDLastSave="707" documentId="8_{DAFDBE1B-8BA2-46DA-8B8D-A137349C21E4}" xr6:coauthVersionLast="47" xr6:coauthVersionMax="47" xr10:uidLastSave="{10367C51-7C66-4E88-B75A-9953B5A0C62D}"/>
  <bookViews>
    <workbookView xWindow="-120" yWindow="-120" windowWidth="38640" windowHeight="21120" xr2:uid="{F0CA4302-2DFB-493E-859A-B9F766788934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5" i="1"/>
  <c r="K10" i="1"/>
  <c r="K9" i="1"/>
  <c r="K8" i="1"/>
  <c r="K5" i="1"/>
  <c r="F10" i="3" l="1"/>
  <c r="F9" i="3"/>
  <c r="E13" i="3" a="1"/>
  <c r="E13" i="3" s="1"/>
  <c r="G13" i="3" s="1"/>
  <c r="E3" i="3" a="1"/>
  <c r="E3" i="3" s="1"/>
  <c r="G3" i="3" s="1"/>
  <c r="E4" i="3" a="1"/>
  <c r="E4" i="3" s="1"/>
  <c r="G4" i="3" s="1"/>
  <c r="E2" i="3" a="1"/>
  <c r="E2" i="3" s="1"/>
  <c r="G2" i="3" s="1"/>
  <c r="E7" i="3" a="1"/>
  <c r="E7" i="3" s="1"/>
  <c r="G7" i="3" s="1"/>
  <c r="E6" i="3" a="1"/>
  <c r="E6" i="3" s="1"/>
  <c r="G6" i="3" s="1"/>
  <c r="E5" i="3" a="1"/>
  <c r="E5" i="3" s="1"/>
  <c r="G5" i="3" s="1"/>
  <c r="E11" i="3" a="1"/>
  <c r="E11" i="3" s="1"/>
  <c r="G11" i="3" s="1"/>
  <c r="E10" i="3" a="1"/>
  <c r="E10" i="3" s="1"/>
  <c r="G10" i="3" s="1"/>
  <c r="E9" i="3" a="1"/>
  <c r="E9" i="3" s="1"/>
  <c r="G9" i="3" s="1"/>
  <c r="E12" i="3" a="1"/>
  <c r="E12" i="3" s="1"/>
  <c r="G12" i="3" s="1"/>
  <c r="E8" i="3" a="1"/>
  <c r="E8" i="3" s="1"/>
  <c r="G8" i="3" s="1"/>
  <c r="F2" i="3"/>
  <c r="F3" i="3"/>
  <c r="F4" i="3"/>
  <c r="F5" i="3"/>
  <c r="F6" i="3"/>
  <c r="F7" i="3"/>
  <c r="F8" i="3"/>
  <c r="F11" i="3"/>
  <c r="F12" i="3"/>
  <c r="F13" i="3"/>
  <c r="D2" i="3"/>
  <c r="D3" i="3"/>
  <c r="D4" i="3"/>
  <c r="D5" i="3"/>
  <c r="D6" i="3"/>
  <c r="D7" i="3"/>
  <c r="D8" i="3"/>
  <c r="D9" i="3"/>
  <c r="D10" i="3"/>
  <c r="D11" i="3"/>
  <c r="D12" i="3"/>
  <c r="D13" i="3"/>
  <c r="C2" i="3"/>
  <c r="C3" i="3"/>
  <c r="C4" i="3"/>
  <c r="C5" i="3"/>
  <c r="C6" i="3"/>
  <c r="C7" i="3"/>
  <c r="C8" i="3"/>
  <c r="C9" i="3"/>
  <c r="C10" i="3"/>
  <c r="C11" i="3"/>
  <c r="C12" i="3"/>
  <c r="C13" i="3"/>
  <c r="K6" i="1" l="1"/>
  <c r="K13" i="1" l="1"/>
  <c r="K17" i="1" l="1"/>
  <c r="K14" i="1" l="1"/>
  <c r="K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<sst xmlns="http://schemas.openxmlformats.org/spreadsheetml/2006/main" count="597" uniqueCount="225">
  <si>
    <t>Asset Type</t>
  </si>
  <si>
    <t>Manufacture</t>
  </si>
  <si>
    <t>Assembly Number (Description)</t>
  </si>
  <si>
    <t>Hutch</t>
  </si>
  <si>
    <t>Current Location?</t>
  </si>
  <si>
    <t>HE Location</t>
  </si>
  <si>
    <t>Z Location (LCLS)</t>
  </si>
  <si>
    <t>Asset Model Name</t>
  </si>
  <si>
    <t>ServiceNow ID</t>
  </si>
  <si>
    <t>Kitting BOM Link</t>
  </si>
  <si>
    <t>Kitting % Complete</t>
  </si>
  <si>
    <t>Assembly Traveler Link</t>
  </si>
  <si>
    <t>Assembly Folder Link</t>
  </si>
  <si>
    <t>Reuse</t>
  </si>
  <si>
    <t>Scatter Slit</t>
  </si>
  <si>
    <t>JJ X-Ray</t>
  </si>
  <si>
    <t>DSG-000047614</t>
  </si>
  <si>
    <t>XPP</t>
  </si>
  <si>
    <t>H1.2</t>
  </si>
  <si>
    <t>SL3L0</t>
  </si>
  <si>
    <t>Y</t>
  </si>
  <si>
    <t>H1.3</t>
  </si>
  <si>
    <t>SL2L2</t>
  </si>
  <si>
    <t>Created box for controls</t>
  </si>
  <si>
    <t>Power Slits (Adjustable Aperture)</t>
  </si>
  <si>
    <t>TBD</t>
  </si>
  <si>
    <t>SL1L2</t>
  </si>
  <si>
    <t>Intensity Position Monitor (IPM)</t>
  </si>
  <si>
    <t>DSG-000018873</t>
  </si>
  <si>
    <t>FEE</t>
  </si>
  <si>
    <t>EM3L0</t>
  </si>
  <si>
    <t>LDVC0003994</t>
  </si>
  <si>
    <t>DSG-000018873 IPM BOM_2.xlsx</t>
  </si>
  <si>
    <t>LCLSII-HE-1.4-PP-0744.docx</t>
  </si>
  <si>
    <t>EM1L2</t>
  </si>
  <si>
    <t>LDVC0003995</t>
  </si>
  <si>
    <t>EM1L2 Kitting BOM.xlsx</t>
  </si>
  <si>
    <t>EM2L2</t>
  </si>
  <si>
    <t>LDVC0003996</t>
  </si>
  <si>
    <t>EM2L2 Kitting BOM.xlsx</t>
  </si>
  <si>
    <t>Power Profile Monitor (PPM)</t>
  </si>
  <si>
    <t>DSG-000037561</t>
  </si>
  <si>
    <t>IM5L0</t>
  </si>
  <si>
    <t>LDVC0003997</t>
  </si>
  <si>
    <t>https://slac.sharepoint.com/:x:/r/sites/lcls/lcls-2-he/exp/shared_docs/Beamline%20Systems/.07.Assy+Test/BOMs%20for%20Kitting/DSG-000037561%20PPM%20BOM_2.xlsx?d=w63c9e82cabee4291a30428f325246377&amp;csf=1&amp;web=1&amp;e=ShwAj3</t>
  </si>
  <si>
    <t>LCLSII-HE-1.4-PP-0708.docx</t>
  </si>
  <si>
    <t>IM2L2</t>
  </si>
  <si>
    <t>LDVC0003998</t>
  </si>
  <si>
    <t>IM2L2 Kitting BOM.xlsx</t>
  </si>
  <si>
    <t>Profile Monitor</t>
  </si>
  <si>
    <t>DSG-000046756</t>
  </si>
  <si>
    <t>IM1L2</t>
  </si>
  <si>
    <t>LDVC0003999</t>
  </si>
  <si>
    <t>DSG-000046756 PPM BOM_2.xlsx</t>
  </si>
  <si>
    <t>LCLSII-HE-1.4-PP-0754.docx</t>
  </si>
  <si>
    <t>Solid Attenuator</t>
  </si>
  <si>
    <t>REF-000312583</t>
  </si>
  <si>
    <t>AT1L2</t>
  </si>
  <si>
    <t>Transfocator</t>
  </si>
  <si>
    <t>RL1L2</t>
  </si>
  <si>
    <t>Arrival Time Monitor</t>
  </si>
  <si>
    <t>DSG-000035322</t>
  </si>
  <si>
    <t>TM1L2</t>
  </si>
  <si>
    <t>LDVC0004000</t>
  </si>
  <si>
    <t>DSG-000035322 ATM BOM_2.xlsx</t>
  </si>
  <si>
    <t>LCLSII-HE-1.4-PP-0745.docx</t>
  </si>
  <si>
    <t>Wavefront Sensor (WFS)</t>
  </si>
  <si>
    <t>DSG-000043770</t>
  </si>
  <si>
    <t>PF2L2</t>
  </si>
  <si>
    <t>LDVC0004001</t>
  </si>
  <si>
    <t>PF2L2 Kitting BOM.xlsx</t>
  </si>
  <si>
    <t>LCLSII-HE-1.4-PP-0743.docx</t>
  </si>
  <si>
    <t>Grating Beam Splitter (GBS)</t>
  </si>
  <si>
    <t>DSG-000044558</t>
  </si>
  <si>
    <t>PF2L0</t>
  </si>
  <si>
    <t>LDVC0004002</t>
  </si>
  <si>
    <t>DSG-000044558 GBS BOM_2.xlsx</t>
  </si>
  <si>
    <t>LCLSII-HE-1.4-PP-0749.docx</t>
  </si>
  <si>
    <t>Exit Window</t>
  </si>
  <si>
    <t>DSG-000039392</t>
  </si>
  <si>
    <t>PF1L2</t>
  </si>
  <si>
    <t>LDVC0004003</t>
  </si>
  <si>
    <t>LCLSII-HE-1.4-PP-1178.docx</t>
  </si>
  <si>
    <t>Photon Terminator</t>
  </si>
  <si>
    <t>DSG-000042315</t>
  </si>
  <si>
    <t>SF1L2</t>
  </si>
  <si>
    <t>LDVC0004004</t>
  </si>
  <si>
    <t>DSG-000042315 Photon Term BOM_2.xlsx</t>
  </si>
  <si>
    <t>LCLSII-HE-1.4-PP-1179.docx</t>
  </si>
  <si>
    <t>Reference Laser</t>
  </si>
  <si>
    <t>DSG-000076546</t>
  </si>
  <si>
    <t>AL1L0</t>
  </si>
  <si>
    <t>LDVC0004005</t>
  </si>
  <si>
    <t>DSG-000018114 Ref Las BOM_2.xlsx</t>
  </si>
  <si>
    <t>LCLSII-HE-1.4-PP-0707.docx</t>
  </si>
  <si>
    <t xml:space="preserve">Pulse Picker </t>
  </si>
  <si>
    <t>DSG-000040991</t>
  </si>
  <si>
    <t>B645</t>
  </si>
  <si>
    <t>SH1L2</t>
  </si>
  <si>
    <t>LDVC0004066</t>
  </si>
  <si>
    <t>LCLSII-HE-1.4-PP-0914</t>
  </si>
  <si>
    <t>SH1L2 - LDVC# - ####</t>
  </si>
  <si>
    <t>Collimator</t>
  </si>
  <si>
    <t>PC3L0</t>
  </si>
  <si>
    <t>BTM</t>
  </si>
  <si>
    <t>BT4L0</t>
  </si>
  <si>
    <t>PC4L0</t>
  </si>
  <si>
    <t>BT5L0</t>
  </si>
  <si>
    <t>PC5L0</t>
  </si>
  <si>
    <t>BT6L0</t>
  </si>
  <si>
    <t>Stopper</t>
  </si>
  <si>
    <t>DSG-000050044</t>
  </si>
  <si>
    <t>ST1L0</t>
  </si>
  <si>
    <t>MFX</t>
  </si>
  <si>
    <t>H4.5</t>
  </si>
  <si>
    <t>SL1L5</t>
  </si>
  <si>
    <t>XES_BL_SS_7330</t>
  </si>
  <si>
    <t>RFI: QTY 1 - MFX Scatter Slits</t>
  </si>
  <si>
    <t>DSG-000025642</t>
  </si>
  <si>
    <t>XRT - A</t>
  </si>
  <si>
    <t>EM5L0</t>
  </si>
  <si>
    <t>RFI: QTY 3 (XRT 1) - MFX Intensity Monitors</t>
  </si>
  <si>
    <t>XRT - C</t>
  </si>
  <si>
    <t>EM1L5</t>
  </si>
  <si>
    <t>XRT - Alcove</t>
  </si>
  <si>
    <t>EM2L5</t>
  </si>
  <si>
    <t>IM1L5</t>
  </si>
  <si>
    <t>IM2L5</t>
  </si>
  <si>
    <t>IM3L5</t>
  </si>
  <si>
    <t>IM4L5</t>
  </si>
  <si>
    <t>AT2L5</t>
  </si>
  <si>
    <t>DSG-000034755</t>
  </si>
  <si>
    <t>TM1L5</t>
  </si>
  <si>
    <t>RFI: QTY 1 - MFX Arrival Time Monitors</t>
  </si>
  <si>
    <t>PF3L5</t>
  </si>
  <si>
    <t>DSG-000039388</t>
  </si>
  <si>
    <t>PF1L5</t>
  </si>
  <si>
    <t>Laser In-Coupling (LIC)</t>
  </si>
  <si>
    <t>LCL5004-009684</t>
  </si>
  <si>
    <t>LI1L5</t>
  </si>
  <si>
    <t>SF1L5</t>
  </si>
  <si>
    <t>DSG-000018114</t>
  </si>
  <si>
    <t>AL1L5</t>
  </si>
  <si>
    <t>RFI: QTY 1 - MFX Reference Laser</t>
  </si>
  <si>
    <t>Collimator/BTM</t>
  </si>
  <si>
    <t>ST2L0</t>
  </si>
  <si>
    <t>CXI</t>
  </si>
  <si>
    <t>H5</t>
  </si>
  <si>
    <t>SL5L0</t>
  </si>
  <si>
    <t>XES_BL_SS_7430</t>
  </si>
  <si>
    <t>RFI: QTY 3 - CXI Scatter Slits</t>
  </si>
  <si>
    <t>SL6L0</t>
  </si>
  <si>
    <t>SL4L0</t>
  </si>
  <si>
    <t>XRT - C3</t>
  </si>
  <si>
    <t>EM6L0</t>
  </si>
  <si>
    <t>RFI: QTY 3 (XRT 1) - CXI Intensity Monitors</t>
  </si>
  <si>
    <t>EM7L0</t>
  </si>
  <si>
    <t>EM8L0</t>
  </si>
  <si>
    <t>IM9L0</t>
  </si>
  <si>
    <t>IM10L0</t>
  </si>
  <si>
    <t>IM11L0</t>
  </si>
  <si>
    <t>IM12L0</t>
  </si>
  <si>
    <t>AT3L0</t>
  </si>
  <si>
    <t>TM1L0</t>
  </si>
  <si>
    <t>RFI: QTY 1 - CXI Arrival Time Monitors</t>
  </si>
  <si>
    <t>PF3L0</t>
  </si>
  <si>
    <t>PF4L0</t>
  </si>
  <si>
    <t>DSG-000057740</t>
  </si>
  <si>
    <t>LCL5004-006876</t>
  </si>
  <si>
    <t>XX2L0</t>
  </si>
  <si>
    <t>RL1L0?</t>
  </si>
  <si>
    <t>RFI: QTY 1 - CXI Reference Laser</t>
  </si>
  <si>
    <t>DXS</t>
  </si>
  <si>
    <t>SL2L3</t>
  </si>
  <si>
    <t>RFI: QTY 2 (XRT 1) - DXS Scatter Slits</t>
  </si>
  <si>
    <t>H4</t>
  </si>
  <si>
    <t>SL3L3</t>
  </si>
  <si>
    <t>XRT - B</t>
  </si>
  <si>
    <t>EM1L3</t>
  </si>
  <si>
    <t>RFI: QTY 6 (XRT 5) - DXS Intensity Monitors</t>
  </si>
  <si>
    <t>EM2L3</t>
  </si>
  <si>
    <t>EM5L3</t>
  </si>
  <si>
    <t>EM7L3</t>
  </si>
  <si>
    <t>XRT Sec B</t>
  </si>
  <si>
    <t>IM2L3</t>
  </si>
  <si>
    <t>IM3L3</t>
  </si>
  <si>
    <t>IM4L3</t>
  </si>
  <si>
    <t>XRT Sec C</t>
  </si>
  <si>
    <t>IM5L3</t>
  </si>
  <si>
    <t>IM9L3</t>
  </si>
  <si>
    <t>Hutch 4</t>
  </si>
  <si>
    <t>IM11L3</t>
  </si>
  <si>
    <t>AT1L3</t>
  </si>
  <si>
    <t>RL1L3</t>
  </si>
  <si>
    <t>TM1L3</t>
  </si>
  <si>
    <t>RFI: QTY 1 - DXS Arrival Time Monitors</t>
  </si>
  <si>
    <t>PF1L3</t>
  </si>
  <si>
    <t>PF2L3</t>
  </si>
  <si>
    <t>LI1L3</t>
  </si>
  <si>
    <t>SF1L3</t>
  </si>
  <si>
    <t>AL1L3</t>
  </si>
  <si>
    <t>RFI: QTY 1 (XRT 1) - DXS Reference Laser</t>
  </si>
  <si>
    <t>PC2L3</t>
  </si>
  <si>
    <t>BT2L3</t>
  </si>
  <si>
    <t>PC3L3</t>
  </si>
  <si>
    <t>BT3L3</t>
  </si>
  <si>
    <t>PC4L3</t>
  </si>
  <si>
    <t>BT4L3</t>
  </si>
  <si>
    <t>PC5L3</t>
  </si>
  <si>
    <t>BT5L3</t>
  </si>
  <si>
    <t>PC6L3</t>
  </si>
  <si>
    <t>BT6L3</t>
  </si>
  <si>
    <t>ST1L3</t>
  </si>
  <si>
    <t>https://docs.google.com/spreadsheets/d/1CKV4rfqDN80BKxcqjdJ4aE2NhtEh9cWEG9G4Ckp4-xw/edit?usp=sharing</t>
  </si>
  <si>
    <t>https://docs.google.com/spreadsheets/d/1Z4Q5_Cg_4zBptYuorvB3wyh-u7IK-KlZef0k85W6nWw/edit?usp=sharing</t>
  </si>
  <si>
    <t>CXI hardware list.xlsx</t>
  </si>
  <si>
    <t>Functional Layout.xlsx</t>
  </si>
  <si>
    <t>Kitting BOM</t>
  </si>
  <si>
    <t>Assembly Traveler</t>
  </si>
  <si>
    <t>Traveler Last 4</t>
  </si>
  <si>
    <t>Folder</t>
  </si>
  <si>
    <t>Folder Name</t>
  </si>
  <si>
    <t>Added Related URLs</t>
  </si>
  <si>
    <t>Kitting
Assembly 
and Installation Tasks attached to this W/O</t>
  </si>
  <si>
    <t>Kitting and
Assembly Tasks attached to this 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</si>
</sst>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9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9" fontId="3" fillId="0" borderId="0" xfId="1" applyNumberFormat="1" applyFont="1" applyFill="1" applyAlignment="1">
      <alignment horizontal="center"/>
    </xf>
    <xf numFmtId="0" fontId="4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7.xml"/><Relationship Id="rId19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EM3L0%20-%20LDVC0003994%20-%200744/EM3L0%20Kitting%20BOM.xlsx" TargetMode="External"/><Relationship Id="rId1" Type="http://schemas.openxmlformats.org/officeDocument/2006/relationships/externalLinkPath" Target="Common%20Components/EM3L0%20-%20LDVC0003994%20-%200744/EM3L0%20Kitting%20BO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EM1L2%20-%20LDVC0003995/EM1L2%20Kitting%20BOM.xlsx" TargetMode="External"/><Relationship Id="rId1" Type="http://schemas.openxmlformats.org/officeDocument/2006/relationships/externalLinkPath" Target="Common%20Components/EM1L2%20-%20LDVC0003995/EM1L2%20Kitting%20BO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EM2L2%20-%20LDVC0003996/EM2L2%20Kitting%20BOM.xlsx" TargetMode="External"/><Relationship Id="rId1" Type="http://schemas.openxmlformats.org/officeDocument/2006/relationships/externalLinkPath" Target="Common%20Components/EM2L2%20-%20LDVC0003996/EM2L2%20Kitting%20BOM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IM5L0%20-%20LDVC0003997%20-%200708/IM5L0%20Kitting%20BOM.xlsx" TargetMode="External"/><Relationship Id="rId1" Type="http://schemas.openxmlformats.org/officeDocument/2006/relationships/externalLinkPath" Target="Common%20Components/IM5L0%20-%20LDVC0003997%20-%200708/IM5L0%20Kitting%20BOM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IM2L2%20-%20LDVC0003998/IM2L2%20Kitting%20BOM.xlsx" TargetMode="External"/><Relationship Id="rId1" Type="http://schemas.openxmlformats.org/officeDocument/2006/relationships/externalLinkPath" Target="Common%20Components/IM2L2%20-%20LDVC0003998/IM2L2%20Kitting%20BOM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IM1L2%20-%20LDVC0003999%20-%200754/IM1L2%20Kitting%20BOM.xlsx" TargetMode="External"/><Relationship Id="rId1" Type="http://schemas.openxmlformats.org/officeDocument/2006/relationships/externalLinkPath" Target="Common%20Components/IM1L2%20-%20LDVC0003999%20-%200754/IM1L2%20Kitting%20BOM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TM1L2%20-%20LDVC0004000%20-%200745/TM1L2%20Kitting%20BOM.xlsx" TargetMode="External"/><Relationship Id="rId1" Type="http://schemas.openxmlformats.org/officeDocument/2006/relationships/externalLinkPath" Target="Common%20Components/TM1L2%20-%20LDVC0004000%20-%200745/TM1L2%20Kitting%20BOM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PF2L2%20-%20LDVC0004001%20-%200743/PF2L2%20Kitting%20BOM.xlsx" TargetMode="External"/><Relationship Id="rId1" Type="http://schemas.openxmlformats.org/officeDocument/2006/relationships/externalLinkPath" Target="Common%20Components/PF2L2%20-%20LDVC0004001%20-%200743/PF2L2%20Kitting%20BOM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PF2L0%20-%20LDVC0004002%20-%200749/PF2L0%20Kitting%20BOM.xlsx" TargetMode="External"/><Relationship Id="rId1" Type="http://schemas.openxmlformats.org/officeDocument/2006/relationships/externalLinkPath" Target="Common%20Components/PF2L0%20-%20LDVC0004002%20-%200749/PF2L0%20Kitting%20BOM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SF1L2%20-%20LDVC0004004%20-%201179/SF1L2%20Kitting%20BOM.xlsx" TargetMode="External"/><Relationship Id="rId1" Type="http://schemas.openxmlformats.org/officeDocument/2006/relationships/externalLinkPath" Target="Common%20Components/SF1L2%20-%20LDVC0004004%20-%201179/SF1L2%20Kitting%20BOM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Common%20Components/AL1L0%20-%20LDVC0004005%20-%201196/AL1L0%20Kitting%20BOM.xlsx" TargetMode="External"/><Relationship Id="rId1" Type="http://schemas.openxmlformats.org/officeDocument/2006/relationships/externalLinkPath" Target="Common%20Components/AL1L0%20-%20LDVC0004005%20-%201196/AL1L0%20Kitting%20BOM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ac.sharepoint.com/sites/lcls/lcls-2-he/exp/shared_docs/XES%20Installation/Procurement%20and%20Assembly/Assembly%20Planning/HE%20XES%20Assembly%20Travelers.xlsx" TargetMode="External"/><Relationship Id="rId1" Type="http://schemas.openxmlformats.org/officeDocument/2006/relationships/externalLinkPath" Target="HE%20XES%20Assembly%20Travel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QR7Z4P45LAFNHZVF47GNXXGOJF">
      <xxl21:absoluteUrl r:id="rId2"/>
    </xxl21:alternateUrls>
    <sheetNames>
      <sheetName val="Status of Parts"/>
      <sheetName val="Hardware to Pull"/>
      <sheetName val="Drop-Down Lists"/>
      <sheetName val="Printed Version"/>
    </sheetNames>
    <sheetDataSet>
      <sheetData sheetId="0">
        <row r="1">
          <cell r="C1">
            <v>0.84905660377358494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V2VTZT6JU42VHLPDWIWD3RGEXR">
      <xxl21:absoluteUrl r:id="rId2"/>
    </xxl21:alternateUrls>
    <sheetNames>
      <sheetName val="Status of Parts"/>
      <sheetName val="Drop-Down Lists"/>
      <sheetName val="Printed Version"/>
    </sheetNames>
    <sheetDataSet>
      <sheetData sheetId="0">
        <row r="1">
          <cell r="C1">
            <v>0.84905660377358494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X5DMLG2AA7RRC3RPX6PGGU4S36">
      <xxl21:absoluteUrl r:id="rId2"/>
    </xxl21:alternateUrls>
    <sheetNames>
      <sheetName val="Status of Parts"/>
      <sheetName val="Drop-Down Lists"/>
      <sheetName val="Printed Version"/>
    </sheetNames>
    <sheetDataSet>
      <sheetData sheetId="0">
        <row r="1">
          <cell r="C1">
            <v>0.84905660377358494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RM5DEWH3VLSFBKGBBI6MSSIY3X">
      <xxl21:absoluteUrl r:id="rId2"/>
    </xxl21:alternateUrls>
    <sheetNames>
      <sheetName val="Status of Parts"/>
      <sheetName val="Drop-Down Lists"/>
      <sheetName val="Printed Version"/>
      <sheetName val="Printed Version - Base PPM"/>
    </sheetNames>
    <sheetDataSet>
      <sheetData sheetId="0">
        <row r="1">
          <cell r="C1">
            <v>0.81666666666666665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TWUGBEKMG3CRALKSXKAVYECCLO">
      <xxl21:absoluteUrl r:id="rId2"/>
    </xxl21:alternateUrls>
    <sheetNames>
      <sheetName val="Status of Parts"/>
      <sheetName val="Drop-Down Lists"/>
      <sheetName val="Printed Version"/>
    </sheetNames>
    <sheetDataSet>
      <sheetData sheetId="0">
        <row r="1">
          <cell r="C1">
            <v>0.51666666666666672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XY4YRCRLUSPVF2WPOEB6KOVVFU">
      <xxl21:absoluteUrl r:id="rId2"/>
    </xxl21:alternateUrls>
    <sheetNames>
      <sheetName val="Status of Parts"/>
      <sheetName val="Drop-Down Lists"/>
      <sheetName val="Printed Version"/>
    </sheetNames>
    <sheetDataSet>
      <sheetData sheetId="0">
        <row r="1">
          <cell r="C1">
            <v>0.6216216216216216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XC2LF3WRSODJA32CRXQOZ2EA4C">
      <xxl21:absoluteUrl r:id="rId2"/>
    </xxl21:alternateUrls>
    <sheetNames>
      <sheetName val="Status of Parts"/>
      <sheetName val="2025-05-01 Parts to Pull"/>
      <sheetName val="Drop-Down Lists"/>
      <sheetName val="Printed Version"/>
    </sheetNames>
    <sheetDataSet>
      <sheetData sheetId="0">
        <row r="1">
          <cell r="C1">
            <v>0.55384615384615388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XDU7XERO37BBDJBTOOWMERYJRG">
      <xxl21:absoluteUrl r:id="rId2"/>
    </xxl21:alternateUrls>
    <sheetNames>
      <sheetName val="Status of Parts"/>
      <sheetName val="Drop-Down Lists"/>
      <sheetName val="Printed Version"/>
    </sheetNames>
    <sheetDataSet>
      <sheetData sheetId="0">
        <row r="1">
          <cell r="C1">
            <v>0.7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UNS4K7SS2MEBHLGIVH674U3C7Y">
      <xxl21:absoluteUrl r:id="rId2"/>
    </xxl21:alternateUrls>
    <sheetNames>
      <sheetName val="Status of Parts"/>
      <sheetName val="Drop-Down Lists"/>
      <sheetName val="Printed Version"/>
    </sheetNames>
    <sheetDataSet>
      <sheetData sheetId="0">
        <row r="1">
          <cell r="C1">
            <v>0.63157894736842102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UWSGB6JOXL4BCL6VRZHJA7SLV6">
      <xxl21:absoluteUrl r:id="rId2"/>
    </xxl21:alternateUrls>
    <sheetNames>
      <sheetName val="Status of Parts"/>
      <sheetName val="Drop-Down Lists"/>
      <sheetName val="Printed Version"/>
    </sheetNames>
    <sheetDataSet>
      <sheetData sheetId="0">
        <row r="1">
          <cell r="C1">
            <v>0.36363636363636365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RMOMUQCJ22MJELVQEN3BU3TKDD">
      <xxl21:absoluteUrl r:id="rId2"/>
    </xxl21:alternateUrls>
    <sheetNames>
      <sheetName val="Status of Parts"/>
      <sheetName val="Vacuum Parts"/>
      <sheetName val="Drop-Down Lists"/>
      <sheetName val="Printed Version"/>
      <sheetName val="Printed Version - Base Ref Las"/>
    </sheetNames>
    <sheetDataSet>
      <sheetData sheetId="0">
        <row r="1">
          <cell r="C1">
            <v>0.68085106382978722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3a4Sy-4MEqCGpsXeVYymYa5_LDPwQRGpS0vJlcoYpfEXTb-Ohn1Rp8El9j3f5pH" itemId="01IYOC7HR5YMERA6HGTJHK7XN7FATLRDA5">
      <xxl21:absoluteUrl r:id="rId2"/>
    </xxl21:alternateUrls>
    <sheetNames>
      <sheetName val="By Hutches"/>
      <sheetName val="By Component"/>
    </sheetNames>
    <sheetDataSet>
      <sheetData sheetId="0">
        <row r="1">
          <cell r="D1" t="str">
            <v>Asset Number</v>
          </cell>
          <cell r="G1" t="str">
            <v>New Traveler Document Number</v>
          </cell>
        </row>
        <row r="2">
          <cell r="D2" t="str">
            <v>IM5L0</v>
          </cell>
          <cell r="G2" t="str">
            <v>LCLSII-HE-1.4-PP-0708</v>
          </cell>
        </row>
        <row r="3">
          <cell r="D3" t="str">
            <v>IM2L2</v>
          </cell>
          <cell r="G3" t="str">
            <v>LCLSII-HE-1.4-PP-1327</v>
          </cell>
        </row>
        <row r="4">
          <cell r="D4" t="str">
            <v>IM1L2</v>
          </cell>
          <cell r="G4" t="str">
            <v>LCLSII-HE-1.4-PP-0754</v>
          </cell>
        </row>
        <row r="5">
          <cell r="D5" t="str">
            <v>PF2L2</v>
          </cell>
          <cell r="G5" t="str">
            <v>LCLSII-HE-1.4-PP-0743</v>
          </cell>
        </row>
        <row r="6">
          <cell r="D6" t="str">
            <v>PF2L0</v>
          </cell>
          <cell r="G6" t="str">
            <v>LCLSII-HE-1.4-PP-0749</v>
          </cell>
        </row>
        <row r="7">
          <cell r="D7" t="str">
            <v>PF1L2</v>
          </cell>
          <cell r="G7" t="str">
            <v>LCLSII-HE-1.4-PP-1178</v>
          </cell>
        </row>
        <row r="8">
          <cell r="D8" t="str">
            <v>SF1L2</v>
          </cell>
          <cell r="G8" t="str">
            <v>LCLSII-HE-1.4-PP-1179</v>
          </cell>
        </row>
        <row r="9">
          <cell r="D9" t="str">
            <v>AL1L0</v>
          </cell>
          <cell r="G9" t="str">
            <v>LCLSII-HE-1.4-PP-1196</v>
          </cell>
        </row>
        <row r="10">
          <cell r="D10" t="str">
            <v>EM3L0</v>
          </cell>
          <cell r="G10" t="str">
            <v>LCLSII-HE-1.4-PP-0744</v>
          </cell>
        </row>
        <row r="11">
          <cell r="D11" t="str">
            <v>EM1L2</v>
          </cell>
        </row>
        <row r="12">
          <cell r="D12" t="str">
            <v>EM2L2</v>
          </cell>
        </row>
        <row r="13">
          <cell r="D13" t="str">
            <v>TM1L2</v>
          </cell>
          <cell r="G13" t="str">
            <v>LCLSII-HE-1.4-PP-0745</v>
          </cell>
        </row>
        <row r="14">
          <cell r="D14" t="str">
            <v>PC3L0/BT4L0</v>
          </cell>
          <cell r="G14" t="str">
            <v>LCLSII-HE-1.4-PP-1180</v>
          </cell>
        </row>
        <row r="15">
          <cell r="D15" t="str">
            <v>BT4L0</v>
          </cell>
        </row>
        <row r="16">
          <cell r="D16" t="str">
            <v>PC4L0</v>
          </cell>
        </row>
        <row r="17">
          <cell r="D17" t="str">
            <v>BT5L0</v>
          </cell>
        </row>
        <row r="18">
          <cell r="D18" t="str">
            <v>PC5L0</v>
          </cell>
        </row>
        <row r="19">
          <cell r="D19" t="str">
            <v>BT6L0</v>
          </cell>
        </row>
        <row r="21">
          <cell r="G21" t="str">
            <v>LCLSII-HE-1.4-PP-0914</v>
          </cell>
        </row>
        <row r="22">
          <cell r="G22" t="str">
            <v>LCLSII-HE-1.4-PP-1171</v>
          </cell>
        </row>
        <row r="23">
          <cell r="D23" t="str">
            <v>IM1L5</v>
          </cell>
          <cell r="G23" t="str">
            <v>LCLSII-HE-1.4-PP-1261</v>
          </cell>
        </row>
        <row r="24">
          <cell r="D24" t="str">
            <v>IM2L5</v>
          </cell>
          <cell r="G24" t="str">
            <v>LCLSII-HE-1.4-PP-1262</v>
          </cell>
        </row>
        <row r="25">
          <cell r="D25" t="str">
            <v>IM3L5</v>
          </cell>
          <cell r="G25" t="str">
            <v>LCLSII-HE-1.4-PP-1263</v>
          </cell>
        </row>
        <row r="26">
          <cell r="D26" t="str">
            <v>IM4L5</v>
          </cell>
          <cell r="G26" t="str">
            <v>LCLSII-HE-1.4-PP-1264</v>
          </cell>
        </row>
        <row r="27">
          <cell r="D27" t="str">
            <v>PF2L5</v>
          </cell>
          <cell r="G27" t="str">
            <v>LCLSII-HE-1.4-PP-1265</v>
          </cell>
        </row>
        <row r="28">
          <cell r="D28" t="str">
            <v>PF1L5</v>
          </cell>
          <cell r="G28" t="str">
            <v>LCLSII-HE-1.4-PP-1266</v>
          </cell>
        </row>
        <row r="29">
          <cell r="D29" t="str">
            <v>SF1L5</v>
          </cell>
          <cell r="G29" t="str">
            <v>LCLSII-HE-1.4-PP-1267</v>
          </cell>
        </row>
        <row r="30">
          <cell r="D30" t="str">
            <v>LI1L5</v>
          </cell>
          <cell r="G30" t="str">
            <v>LCLSII-HE-1.4-PP-0756</v>
          </cell>
        </row>
        <row r="31">
          <cell r="D31"/>
        </row>
        <row r="32">
          <cell r="D32" t="str">
            <v>AL1L5</v>
          </cell>
          <cell r="G32" t="str">
            <v>LCLSII-HE-1.4-PP-1197</v>
          </cell>
        </row>
        <row r="33">
          <cell r="D33" t="str">
            <v>EM5L0</v>
          </cell>
          <cell r="G33" t="str">
            <v>LCLSII-HE-1.4-PP-1268</v>
          </cell>
        </row>
        <row r="34">
          <cell r="D34" t="str">
            <v>EM1L5</v>
          </cell>
          <cell r="G34" t="str">
            <v>LCLSII-HE-1.4-PP-1269</v>
          </cell>
        </row>
        <row r="35">
          <cell r="D35" t="str">
            <v>EM2L5</v>
          </cell>
          <cell r="G35" t="str">
            <v>LCLSII-HE-1.4-PP-1270</v>
          </cell>
        </row>
        <row r="36">
          <cell r="D36" t="str">
            <v>EM3L5?</v>
          </cell>
        </row>
        <row r="37">
          <cell r="D37" t="str">
            <v>TM1L5</v>
          </cell>
          <cell r="G37" t="str">
            <v>LCLSII-HE-1.4-PP-1271</v>
          </cell>
        </row>
        <row r="38">
          <cell r="D38" t="str">
            <v>TBD</v>
          </cell>
        </row>
        <row r="39">
          <cell r="D39" t="str">
            <v>TBD</v>
          </cell>
        </row>
        <row r="40">
          <cell r="D40" t="str">
            <v>TBD</v>
          </cell>
        </row>
        <row r="41">
          <cell r="D41"/>
        </row>
        <row r="42">
          <cell r="D42" t="str">
            <v>IM9L0</v>
          </cell>
        </row>
        <row r="43">
          <cell r="D43" t="str">
            <v>IM10L0</v>
          </cell>
        </row>
        <row r="44">
          <cell r="D44" t="str">
            <v>IM11L0</v>
          </cell>
        </row>
        <row r="45">
          <cell r="D45" t="str">
            <v>IM12L0</v>
          </cell>
        </row>
        <row r="46">
          <cell r="D46" t="str">
            <v>PF3L0</v>
          </cell>
        </row>
        <row r="47">
          <cell r="D47" t="str">
            <v>PF4L0</v>
          </cell>
        </row>
        <row r="48">
          <cell r="D48" t="str">
            <v>PF?L?</v>
          </cell>
        </row>
        <row r="49">
          <cell r="D49" t="str">
            <v>SF2L0</v>
          </cell>
        </row>
        <row r="50">
          <cell r="D50" t="str">
            <v>LI?L?</v>
          </cell>
        </row>
        <row r="51">
          <cell r="D51" t="str">
            <v>RL1L0</v>
          </cell>
          <cell r="G51" t="str">
            <v>LCLSII-HE-1.4-PP-0707</v>
          </cell>
        </row>
        <row r="52">
          <cell r="D52" t="str">
            <v>EM6L0</v>
          </cell>
        </row>
        <row r="53">
          <cell r="D53" t="str">
            <v>EM7L0</v>
          </cell>
        </row>
        <row r="54">
          <cell r="D54" t="str">
            <v>EM8L0</v>
          </cell>
        </row>
        <row r="55">
          <cell r="D55" t="str">
            <v>TM1L0</v>
          </cell>
        </row>
        <row r="56">
          <cell r="D56" t="str">
            <v>TBD</v>
          </cell>
        </row>
        <row r="57">
          <cell r="D57" t="str">
            <v>TBD</v>
          </cell>
        </row>
        <row r="58">
          <cell r="D58" t="str">
            <v>TBD</v>
          </cell>
        </row>
        <row r="59">
          <cell r="D59" t="str">
            <v>TBD</v>
          </cell>
        </row>
        <row r="61">
          <cell r="D61" t="str">
            <v>IM2L3</v>
          </cell>
        </row>
        <row r="62">
          <cell r="D62" t="str">
            <v>IM3L3</v>
          </cell>
        </row>
        <row r="63">
          <cell r="D63" t="str">
            <v>IM4L3</v>
          </cell>
        </row>
        <row r="64">
          <cell r="D64" t="str">
            <v>IM5L3</v>
          </cell>
        </row>
        <row r="65">
          <cell r="D65" t="str">
            <v>IM9L3</v>
          </cell>
        </row>
        <row r="66">
          <cell r="D66" t="str">
            <v>IM11L3</v>
          </cell>
        </row>
        <row r="67">
          <cell r="D67" t="str">
            <v>IM?L?</v>
          </cell>
        </row>
        <row r="68">
          <cell r="D68" t="str">
            <v>PF1L3</v>
          </cell>
        </row>
        <row r="69">
          <cell r="D69" t="str">
            <v>PF2L3</v>
          </cell>
        </row>
        <row r="70">
          <cell r="D70" t="str">
            <v>SF1L3</v>
          </cell>
        </row>
        <row r="71">
          <cell r="D71" t="str">
            <v>LI1L3</v>
          </cell>
        </row>
        <row r="72">
          <cell r="D72" t="str">
            <v>AL1L3</v>
          </cell>
        </row>
        <row r="73">
          <cell r="D73" t="str">
            <v>EM1L3</v>
          </cell>
        </row>
        <row r="74">
          <cell r="D74" t="str">
            <v>EM2L3</v>
          </cell>
        </row>
        <row r="75">
          <cell r="D75" t="str">
            <v>EM5L3</v>
          </cell>
        </row>
        <row r="76">
          <cell r="D76" t="str">
            <v>EM7L3</v>
          </cell>
        </row>
        <row r="77">
          <cell r="D77" t="str">
            <v>EM?L?</v>
          </cell>
        </row>
        <row r="78">
          <cell r="D78" t="str">
            <v>TM1L3</v>
          </cell>
        </row>
        <row r="79">
          <cell r="D79" t="str">
            <v>PC2L3</v>
          </cell>
        </row>
        <row r="80">
          <cell r="D80" t="str">
            <v>BT2L3</v>
          </cell>
        </row>
        <row r="81">
          <cell r="D81" t="str">
            <v>PC3L3</v>
          </cell>
        </row>
        <row r="82">
          <cell r="D82" t="str">
            <v>BT3L3</v>
          </cell>
        </row>
        <row r="83">
          <cell r="D83" t="str">
            <v>PC4L3</v>
          </cell>
        </row>
        <row r="84">
          <cell r="D84" t="str">
            <v>BT4L3</v>
          </cell>
        </row>
        <row r="85">
          <cell r="D85" t="str">
            <v>PC5L3</v>
          </cell>
        </row>
        <row r="86">
          <cell r="D86" t="str">
            <v>BT5L3</v>
          </cell>
        </row>
        <row r="87">
          <cell r="D87" t="str">
            <v>PC6L3</v>
          </cell>
        </row>
        <row r="88">
          <cell r="D88" t="str">
            <v>BT6L3</v>
          </cell>
        </row>
        <row r="89">
          <cell r="D89" t="str">
            <v>PC?L?</v>
          </cell>
        </row>
        <row r="90">
          <cell r="D90" t="str">
            <v>BT?L?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57E036-4AD3-4B5B-BEBB-C7C4272969B1}" name="Table3" displayName="Table3" ref="A1:N104" totalsRowShown="0" headerRowDxfId="8">
  <autoFilter ref="A1:N104" xr:uid="{9D57E036-4AD3-4B5B-BEBB-C7C4272969B1}"/>
  <tableColumns count="14">
    <tableColumn id="1" xr3:uid="{C19942CF-C385-4C88-9269-D4B162085CBD}" name="Asset Type"/>
    <tableColumn id="2" xr3:uid="{32F7D85B-6417-42C3-9D81-64F98358919C}" name="Manufacture"/>
    <tableColumn id="3" xr3:uid="{25D231CB-5F6F-4C6B-B332-B0E902E500AE}" name="Assembly Number (Description)"/>
    <tableColumn id="4" xr3:uid="{7EA9076D-51D3-445A-B145-7324E4D2CF0E}" name="Hutch"/>
    <tableColumn id="15" xr3:uid="{B2CEFA37-D76A-48E1-93C9-E5A43B8764CD}" name="Current Location?"/>
    <tableColumn id="14" xr3:uid="{07CE7EB5-4C67-4436-808D-11B216847208}" name="HE Location"/>
    <tableColumn id="5" xr3:uid="{7AD20883-F980-4868-A6E6-975204E93C4D}" name="Z Location (LCLS)"/>
    <tableColumn id="6" xr3:uid="{740BC42A-D61A-48C8-B2DB-174380EA4F96}" name="Asset Model Name"/>
    <tableColumn id="7" xr3:uid="{04B77699-C54C-4064-91A7-F5A155435C90}" name="ServiceNow ID"/>
    <tableColumn id="8" xr3:uid="{677BF340-8B7E-4F29-8233-4D021AAC0234}" name="Kitting BOM Link"/>
    <tableColumn id="12" xr3:uid="{46E7466D-D462-470F-BB99-9C31BB35CBA4}" name="Kitting % Complete" dataDxfId="7"/>
    <tableColumn id="9" xr3:uid="{7829C4A0-6419-4F89-BA6C-689D34CBB050}" name="Assembly Traveler Link"/>
    <tableColumn id="10" xr3:uid="{D04767FF-071C-4091-B123-1254FB62317A}" name="Assembly Folder Link"/>
    <tableColumn id="11" xr3:uid="{D2BB927E-BC8B-4806-B1C6-09DD33C1144C}" name="Re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8175D-B522-4DDE-BDF4-17F42F9A3704}" name="Table1" displayName="Table1" ref="A1:G13" totalsRowShown="0" headerRowDxfId="6">
  <autoFilter ref="A1:G13" xr:uid="{B318175D-B522-4DDE-BDF4-17F42F9A3704}"/>
  <sortState xmlns:xlrd2="http://schemas.microsoft.com/office/spreadsheetml/2017/richdata2" ref="A2:G13">
    <sortCondition ref="B1:B13"/>
  </sortState>
  <tableColumns count="7">
    <tableColumn id="1" xr3:uid="{075853EA-9AD9-4EF4-AA7E-7A96FF5B42C9}" name="Asset Model Name" dataDxfId="5"/>
    <tableColumn id="2" xr3:uid="{3C2AE8CA-8DBF-44BD-90F1-F88D203E1F0A}" name="ServiceNow ID"/>
    <tableColumn id="3" xr3:uid="{A628783D-2BF3-4F55-9904-174222A782D7}" name="Kitting BOM" dataDxfId="4">
      <calculatedColumnFormula>CONCATENATE(A2," ",Table1[[#Headers],[Kitting BOM]])</calculatedColumnFormula>
    </tableColumn>
    <tableColumn id="4" xr3:uid="{BE746B80-E4ED-443F-8F92-D409A1DAA72E}" name="Assembly Traveler" dataDxfId="3">
      <calculatedColumnFormula>CONCATENATE(A2," ",Table1[[#Headers],[Assembly Traveler]])</calculatedColumnFormula>
    </tableColumn>
    <tableColumn id="7" xr3:uid="{320B92E5-1A8E-4C7A-A930-01A248FFF3B9}" name="Traveler Last 4" dataDxfId="2">
      <calculatedColumnFormula array="1">IFERROR(INDEX(RIGHT('[12]By Hutches'!$G:$G,4),MATCH(A2,'[12]By Hutches'!$D:$D,0)),"Not an asset")</calculatedColumnFormula>
    </tableColumn>
    <tableColumn id="5" xr3:uid="{467B0EC0-2F7D-43BD-9914-F40119300BEE}" name="Folder" dataDxfId="1">
      <calculatedColumnFormula>CONCATENATE(A2," ",Table1[[#Headers],[Folder]])</calculatedColumnFormula>
    </tableColumn>
    <tableColumn id="6" xr3:uid="{CD3775EE-22D6-4DD1-85C6-6F5A587195C2}" name="Folder Name" dataDxfId="0">
      <calculatedColumnFormula>CONCATENATE(A2," - ",Table1[[#This Row],[ServiceNow ID]]," - ",Table1[[#This Row],[Traveler Last 4]])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:w:/r/sites/lcls/lcls-2-he/wd/Plans%20and%20Procedures/LCLSII-HE-1.4-PP-1178.docx?d=w8085aa54a56c442aaba3808060cafe86&amp;csf=1&amp;web=1&amp;e=b0fBCi" TargetMode="External"/><Relationship Id="rId13" Type="http://schemas.openxmlformats.org/officeDocument/2006/relationships/hyperlink" Target="../../../../../../:x:/r/sites/lcls/lcls-2-he/exp/shared_docs/Beamline%20Systems/.07.Assy+Test/BOMs%20for%20Kitting/DSG-000035322%20ATM%20BOM_2.xlsx?d=wbbcbd2e24e46411abd0a3783b3a20382&amp;csf=1&amp;web=1&amp;e=jdTMRm" TargetMode="External"/><Relationship Id="rId18" Type="http://schemas.openxmlformats.org/officeDocument/2006/relationships/hyperlink" Target="../../../../../../:x:/r/sites/lcls/lcls-2-he/exp/shared_docs/Beamline%20Systems/.07.Assy+Test/BOMs%20for%20Kitting/EM2L2%20Kitting%20BOM.xlsx?d=w6d161bfd1f00458cb8befe798d4e4b7e&amp;csf=1&amp;web=1&amp;e=9LRz6S" TargetMode="External"/><Relationship Id="rId3" Type="http://schemas.openxmlformats.org/officeDocument/2006/relationships/hyperlink" Target="../../../../../../:w:/r/sites/lcls/lcls-2-he/wd/Plans%20and%20Procedures/LCLSII-HE-1.4-PP-0743.docx?d=w8e002d8dffe041c19476361473fa2be2&amp;csf=1&amp;web=1&amp;e=o011qG" TargetMode="External"/><Relationship Id="rId21" Type="http://schemas.openxmlformats.org/officeDocument/2006/relationships/hyperlink" Target="https://slac.sharepoint.com/sites/pub/Publications/Forms/LCLSIIHE%20Plans%20and%20Procedures.aspx?id=%2Fsites%2Fpub%2FPublications%2FLCLSII%2DHE%2D1%2E4%2DPP%2D0914%2Epdf&amp;viewid=4b6b8ff4%2Df9ad%2D4ddb%2Db4fd%2Deed47d7de9f1&amp;parent=%2Fsites%2Fpub%2FPublications" TargetMode="External"/><Relationship Id="rId7" Type="http://schemas.openxmlformats.org/officeDocument/2006/relationships/hyperlink" Target="../../../../../../:w:/r/sites/lcls/lcls-2-he/wd/Plans%20and%20Procedures/LCLSII-HE-1.4-PP-0754.docx?d=we5cfd6b3da1b40249018b75181d5cdd7&amp;csf=1&amp;web=1&amp;e=sboi4J" TargetMode="External"/><Relationship Id="rId12" Type="http://schemas.openxmlformats.org/officeDocument/2006/relationships/hyperlink" Target="../../../../../../:x:/r/sites/lcls/lcls-2-he/exp/shared_docs/Beamline%20Systems/.07.Assy+Test/BOMs%20for%20Kitting/DSG-000018873%20IPM%20BOM_2.xlsx?d=wfe78fe1160754f2b9a979f336f733925&amp;csf=1&amp;web=1&amp;e=HgFhFj" TargetMode="External"/><Relationship Id="rId17" Type="http://schemas.openxmlformats.org/officeDocument/2006/relationships/hyperlink" Target="../../../../../../:x:/r/sites/lcls/lcls-2-he/exp/shared_docs/Beamline%20Systems/.07.Assy+Test/BOMs%20for%20Kitting/DSG-000046756%20PPM%20BOM_2.xlsx?d=w2822e6f892ae4b7dab3dc40f94ead4b4&amp;csf=1&amp;web=1&amp;e=KaMTLo" TargetMode="External"/><Relationship Id="rId2" Type="http://schemas.openxmlformats.org/officeDocument/2006/relationships/hyperlink" Target="../../../../../../:w:/r/sites/lcls/lcls-2-he/wd/Plans%20and%20Procedures/LCLSII-HE-1.4-PP-0708.docx?d=wae9163f70f8741d3b28ed373236105b3&amp;csf=1&amp;web=1&amp;e=c8eWHY" TargetMode="External"/><Relationship Id="rId16" Type="http://schemas.openxmlformats.org/officeDocument/2006/relationships/hyperlink" Target="../../../../../../:x:/r/sites/lcls/lcls-2-he/exp/shared_docs/Beamline%20Systems/.07.Assy+Test/BOMs%20for%20Kitting/DSG-000044558%20GBS%20BOM_2.xlsx?d=wf915978d4c4b4e20b322a7f7f94d8bf8&amp;csf=1&amp;web=1&amp;e=A2Z3EU" TargetMode="External"/><Relationship Id="rId20" Type="http://schemas.openxmlformats.org/officeDocument/2006/relationships/hyperlink" Target="../../../../../../:x:/r/sites/lcls/lcls-2-he/exp/shared_docs/Beamline%20Systems/.07.Assy+Test/BOMs%20for%20Kitting/IM2L2%20Kitting%20BOM.xlsx?d=w4582a176db304014b54aea057041096e&amp;csf=1&amp;web=1&amp;e=Lm0bzo" TargetMode="External"/><Relationship Id="rId1" Type="http://schemas.openxmlformats.org/officeDocument/2006/relationships/hyperlink" Target="../../../../../../:w:/r/sites/lcls/lcls-2-he/wd/Plans%20and%20Procedures/LCLSII-HE-1.4-PP-0707.docx?d=wb8ca9cebf63d483bab1a16a2a28ae1a6&amp;csf=1&amp;web=1&amp;e=5sbmGf" TargetMode="External"/><Relationship Id="rId6" Type="http://schemas.openxmlformats.org/officeDocument/2006/relationships/hyperlink" Target="../../../../../../:w:/r/sites/lcls/lcls-2-he/wd/Plans%20and%20Procedures/LCLSII-HE-1.4-PP-0749.docx?d=wb36b3962d9dd4d5fb63a87a0a706f550&amp;csf=1&amp;web=1&amp;e=EnPfVb" TargetMode="External"/><Relationship Id="rId11" Type="http://schemas.openxmlformats.org/officeDocument/2006/relationships/hyperlink" Target="../../../../../../:x:/r/sites/lcls/lcls-2-he/exp/shared_docs/Beamline%20Systems/.07.Assy+Test/BOMs%20for%20Kitting/DSG-000018114%20Ref%20Las%20BOM_2.xlsx?d=w0129732c5a274862bac08dd869b9a863&amp;csf=1&amp;web=1&amp;e=iZ7gZT" TargetMode="External"/><Relationship Id="rId24" Type="http://schemas.openxmlformats.org/officeDocument/2006/relationships/table" Target="../tables/table1.xml"/><Relationship Id="rId5" Type="http://schemas.openxmlformats.org/officeDocument/2006/relationships/hyperlink" Target="../../../../../../:w:/r/sites/lcls/lcls-2-he/wd/Plans%20and%20Procedures/LCLSII-HE-1.4-PP-0745.docx?d=w22f46ff3bd8141609893b0db4df60e09&amp;csf=1&amp;web=1&amp;e=DrrwGR" TargetMode="External"/><Relationship Id="rId15" Type="http://schemas.openxmlformats.org/officeDocument/2006/relationships/hyperlink" Target="../../../../../../:x:/r/sites/lcls/lcls-2-he/exp/shared_docs/Beamline%20Systems/.07.Assy+Test/BOMs%20for%20Kitting/DSG-000042315%20Photon%20Term%20BOM_2.xlsx?d=we4839196ebba44e0bf56393a41f92ebe&amp;csf=1&amp;web=1&amp;e=KRbcWA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../../../../../../:x:/r/sites/lcls/lcls-2-he/exp/shared_docs/Beamline%20Systems/.07.Assy+Test/BOMs%20for%20Kitting/PF2L2%20Kitting%20BOM.xlsx?d=w48eea7e37fbb460890cdceb3091c2626&amp;csf=1&amp;web=1&amp;e=IbVzxB" TargetMode="External"/><Relationship Id="rId19" Type="http://schemas.openxmlformats.org/officeDocument/2006/relationships/hyperlink" Target="../../../../../../:x:/r/sites/lcls/lcls-2-he/exp/shared_docs/Beamline%20Systems/.07.Assy+Test/BOMs%20for%20Kitting/EM1L2%20Kitting%20BOM.xlsx?d=w3ff3acba9c264ed5b78ec8b0f71312f1&amp;csf=1&amp;web=1&amp;e=Kdt7yA" TargetMode="External"/><Relationship Id="rId4" Type="http://schemas.openxmlformats.org/officeDocument/2006/relationships/hyperlink" Target="../../../../../../:w:/r/sites/lcls/lcls-2-he/wd/Plans%20and%20Procedures/LCLSII-HE-1.4-PP-0744.docx?d=wc809e50d92204254b6471a669964f598&amp;csf=1&amp;web=1&amp;e=vGxY2s" TargetMode="External"/><Relationship Id="rId9" Type="http://schemas.openxmlformats.org/officeDocument/2006/relationships/hyperlink" Target="../../../../../../:w:/r/sites/lcls/lcls-2-he/wd/Plans%20and%20Procedures/LCLSII-HE-1.4-PP-1179.docx?d=wa226df39383044fd89855f1f69892376&amp;csf=1&amp;web=1&amp;e=SIbbZL" TargetMode="External"/><Relationship Id="rId14" Type="http://schemas.openxmlformats.org/officeDocument/2006/relationships/hyperlink" Target="../../../../../../:x:/r/sites/lcls/lcls-2-he/exp/shared_docs/Beamline%20Systems/.07.Assy+Test/BOMs%20for%20Kitting/DSG-000037561%20PPM%20BOM_2.xlsx?d=w63c9e82cabee4291a30428f325246377&amp;csf=1&amp;web=1&amp;e=ShwAj3" TargetMode="External"/><Relationship Id="rId22" Type="http://schemas.openxmlformats.org/officeDocument/2006/relationships/hyperlink" Target="https://slac.sharepoint.com/:f:/r/sites/lcls/lcls-2-he/exp/shared_docs/XES%20Installation/Procurement%20and%20Assembly/Assembly%20Planning/Common%20Components/SH1L2%20-%20LDVC%23%20-%20%23%23%23%23?csf=1&amp;web=1&amp;e=wT3aP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:x:/r/sites/lcls/lcls-2-he/exp/shared_docs/Experimental%20Systems/CXI/Control/CXI%20hardware%20list.xlsx?d=w108fa96d9c5746d2937d2d3f24c7ea9a&amp;csf=1&amp;web=1&amp;e=GuJpjG" TargetMode="External"/><Relationship Id="rId2" Type="http://schemas.openxmlformats.org/officeDocument/2006/relationships/hyperlink" Target="https://docs.google.com/spreadsheets/d/1Z4Q5_Cg_4zBptYuorvB3wyh-u7IK-KlZef0k85W6nWw/edit?usp=sharing" TargetMode="External"/><Relationship Id="rId1" Type="http://schemas.openxmlformats.org/officeDocument/2006/relationships/hyperlink" Target="https://docs.google.com/spreadsheets/d/1CKV4rfqDN80BKxcqjdJ4aE2NhtEh9cWEG9G4Ckp4-xw/edit?usp=sharing" TargetMode="External"/><Relationship Id="rId4" Type="http://schemas.openxmlformats.org/officeDocument/2006/relationships/hyperlink" Target="../../../../../../:x:/r/sites/lcls/lcls-2-he/exp/shared_docs/Experimental%20Systems/DXS/Engineering/Layout/Functional%20Layout.xlsx?d=wa90dc83128ac4a44a11c330222ce3745&amp;csf=1&amp;web=1&amp;e=PtQb1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41DC-9266-44CC-880F-3DDC99D85376}">
  <sheetPr codeName="Sheet1">
    <pageSetUpPr fitToPage="1"/>
  </sheetPr>
  <dimension ref="A1:Q104"/>
  <sheetViews>
    <sheetView tabSelected="1" topLeftCell="C1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35.7109375" customWidth="1"/>
    <col min="2" max="2" width="27.28515625" customWidth="1"/>
    <col min="3" max="3" width="29.42578125" customWidth="1"/>
    <col min="5" max="5" width="18.28515625" bestFit="1" customWidth="1"/>
    <col min="6" max="6" width="13.140625" bestFit="1" customWidth="1"/>
    <col min="7" max="7" width="17.28515625" customWidth="1"/>
    <col min="8" max="8" width="18.7109375" customWidth="1"/>
    <col min="9" max="9" width="15" customWidth="1"/>
    <col min="10" max="11" width="16.85546875" customWidth="1"/>
    <col min="12" max="12" width="22" bestFit="1" customWidth="1"/>
    <col min="13" max="13" width="29.140625" customWidth="1"/>
    <col min="16" max="16" width="18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>
        <v>778.76599999999996</v>
      </c>
      <c r="H2" t="s">
        <v>19</v>
      </c>
      <c r="K2" s="4"/>
      <c r="N2" t="s">
        <v>20</v>
      </c>
    </row>
    <row r="3" spans="1:14">
      <c r="A3" t="s">
        <v>14</v>
      </c>
      <c r="B3" t="s">
        <v>15</v>
      </c>
      <c r="C3" t="s">
        <v>16</v>
      </c>
      <c r="D3" t="s">
        <v>17</v>
      </c>
      <c r="F3" t="s">
        <v>21</v>
      </c>
      <c r="G3">
        <v>787.48400000000004</v>
      </c>
      <c r="H3" t="s">
        <v>22</v>
      </c>
      <c r="K3" s="4" t="s">
        <v>23</v>
      </c>
      <c r="N3" t="s">
        <v>20</v>
      </c>
    </row>
    <row r="4" spans="1:14">
      <c r="A4" t="s">
        <v>24</v>
      </c>
      <c r="B4" t="s">
        <v>15</v>
      </c>
      <c r="C4" t="s">
        <v>25</v>
      </c>
      <c r="D4" t="s">
        <v>17</v>
      </c>
      <c r="G4">
        <v>784.39700000000005</v>
      </c>
      <c r="H4" t="s">
        <v>26</v>
      </c>
      <c r="K4" s="4"/>
    </row>
    <row r="5" spans="1:14">
      <c r="A5" t="s">
        <v>27</v>
      </c>
      <c r="C5" t="s">
        <v>28</v>
      </c>
      <c r="D5" t="s">
        <v>17</v>
      </c>
      <c r="F5" t="s">
        <v>29</v>
      </c>
      <c r="G5">
        <v>753.35299999999995</v>
      </c>
      <c r="H5" t="s">
        <v>30</v>
      </c>
      <c r="I5" t="s">
        <v>31</v>
      </c>
      <c r="J5" s="2" t="s">
        <v>32</v>
      </c>
      <c r="K5" s="5">
        <f>'[1]Status of Parts'!$C$1</f>
        <v>0.84905660377358494</v>
      </c>
      <c r="L5" s="2" t="s">
        <v>33</v>
      </c>
      <c r="N5" t="s">
        <v>20</v>
      </c>
    </row>
    <row r="6" spans="1:14">
      <c r="A6" t="s">
        <v>27</v>
      </c>
      <c r="C6" t="s">
        <v>28</v>
      </c>
      <c r="D6" t="s">
        <v>17</v>
      </c>
      <c r="F6" t="s">
        <v>21</v>
      </c>
      <c r="G6">
        <v>786.82299999999998</v>
      </c>
      <c r="H6" t="s">
        <v>34</v>
      </c>
      <c r="I6" t="s">
        <v>35</v>
      </c>
      <c r="J6" s="2" t="s">
        <v>36</v>
      </c>
      <c r="K6" s="5">
        <f>'[2]Status of Parts'!$C$1</f>
        <v>0.84905660377358494</v>
      </c>
      <c r="N6" t="s">
        <v>20</v>
      </c>
    </row>
    <row r="7" spans="1:14">
      <c r="A7" t="s">
        <v>27</v>
      </c>
      <c r="C7" t="s">
        <v>28</v>
      </c>
      <c r="D7" t="s">
        <v>17</v>
      </c>
      <c r="F7" t="s">
        <v>21</v>
      </c>
      <c r="G7">
        <v>799.09699999999998</v>
      </c>
      <c r="H7" t="s">
        <v>37</v>
      </c>
      <c r="I7" t="s">
        <v>38</v>
      </c>
      <c r="J7" s="2" t="s">
        <v>39</v>
      </c>
      <c r="K7" s="5">
        <f>'[3]Status of Parts'!$C$1</f>
        <v>0.84905660377358494</v>
      </c>
      <c r="N7" t="s">
        <v>20</v>
      </c>
    </row>
    <row r="8" spans="1:14">
      <c r="A8" t="s">
        <v>40</v>
      </c>
      <c r="C8" t="s">
        <v>41</v>
      </c>
      <c r="D8" t="s">
        <v>17</v>
      </c>
      <c r="H8" t="s">
        <v>42</v>
      </c>
      <c r="I8" t="s">
        <v>43</v>
      </c>
      <c r="J8" s="2" t="s">
        <v>44</v>
      </c>
      <c r="K8" s="5">
        <f>'[4]Status of Parts'!$C$1</f>
        <v>0.81666666666666665</v>
      </c>
      <c r="L8" s="2" t="s">
        <v>45</v>
      </c>
    </row>
    <row r="9" spans="1:14">
      <c r="A9" t="s">
        <v>40</v>
      </c>
      <c r="C9" t="s">
        <v>41</v>
      </c>
      <c r="D9" t="s">
        <v>17</v>
      </c>
      <c r="H9" t="s">
        <v>46</v>
      </c>
      <c r="I9" t="s">
        <v>47</v>
      </c>
      <c r="J9" s="2" t="s">
        <v>48</v>
      </c>
      <c r="K9" s="5">
        <f>'[5]Status of Parts'!$C$1</f>
        <v>0.51666666666666672</v>
      </c>
    </row>
    <row r="10" spans="1:14">
      <c r="A10" t="s">
        <v>49</v>
      </c>
      <c r="C10" t="s">
        <v>50</v>
      </c>
      <c r="D10" t="s">
        <v>17</v>
      </c>
      <c r="H10" t="s">
        <v>51</v>
      </c>
      <c r="I10" t="s">
        <v>52</v>
      </c>
      <c r="J10" s="2" t="s">
        <v>53</v>
      </c>
      <c r="K10" s="5">
        <f>'[6]Status of Parts'!$C$1</f>
        <v>0.6216216216216216</v>
      </c>
      <c r="L10" s="2" t="s">
        <v>54</v>
      </c>
    </row>
    <row r="11" spans="1:14">
      <c r="A11" t="s">
        <v>55</v>
      </c>
      <c r="B11" t="s">
        <v>15</v>
      </c>
      <c r="C11" t="s">
        <v>56</v>
      </c>
      <c r="D11" t="s">
        <v>17</v>
      </c>
      <c r="F11" t="s">
        <v>21</v>
      </c>
      <c r="H11" t="s">
        <v>57</v>
      </c>
      <c r="K11" s="4"/>
    </row>
    <row r="12" spans="1:14">
      <c r="A12" t="s">
        <v>58</v>
      </c>
      <c r="B12" t="s">
        <v>15</v>
      </c>
      <c r="C12" t="s">
        <v>25</v>
      </c>
      <c r="D12" t="s">
        <v>17</v>
      </c>
      <c r="H12" t="s">
        <v>59</v>
      </c>
      <c r="K12" s="4"/>
    </row>
    <row r="13" spans="1:14">
      <c r="A13" t="s">
        <v>60</v>
      </c>
      <c r="C13" t="s">
        <v>61</v>
      </c>
      <c r="D13" t="s">
        <v>17</v>
      </c>
      <c r="F13" t="s">
        <v>21</v>
      </c>
      <c r="H13" t="s">
        <v>62</v>
      </c>
      <c r="I13" t="s">
        <v>63</v>
      </c>
      <c r="J13" s="2" t="s">
        <v>64</v>
      </c>
      <c r="K13" s="5">
        <f>'[7]Status of Parts'!$C$1</f>
        <v>0.55384615384615388</v>
      </c>
      <c r="L13" s="2" t="s">
        <v>65</v>
      </c>
      <c r="N13" t="s">
        <v>20</v>
      </c>
    </row>
    <row r="14" spans="1:14">
      <c r="A14" t="s">
        <v>66</v>
      </c>
      <c r="C14" t="s">
        <v>67</v>
      </c>
      <c r="D14" t="s">
        <v>17</v>
      </c>
      <c r="H14" t="s">
        <v>68</v>
      </c>
      <c r="I14" t="s">
        <v>69</v>
      </c>
      <c r="J14" s="2" t="s">
        <v>70</v>
      </c>
      <c r="K14" s="5">
        <f>'[8]Status of Parts'!$C$1</f>
        <v>0.7</v>
      </c>
      <c r="L14" s="2" t="s">
        <v>71</v>
      </c>
    </row>
    <row r="15" spans="1:14">
      <c r="A15" t="s">
        <v>72</v>
      </c>
      <c r="C15" t="s">
        <v>73</v>
      </c>
      <c r="D15" t="s">
        <v>17</v>
      </c>
      <c r="H15" t="s">
        <v>74</v>
      </c>
      <c r="I15" t="s">
        <v>75</v>
      </c>
      <c r="J15" s="2" t="s">
        <v>76</v>
      </c>
      <c r="K15" s="5">
        <f>'[9]Status of Parts'!$C$1</f>
        <v>0.63157894736842102</v>
      </c>
      <c r="L15" s="2" t="s">
        <v>77</v>
      </c>
    </row>
    <row r="16" spans="1:14">
      <c r="A16" t="s">
        <v>78</v>
      </c>
      <c r="C16" t="s">
        <v>79</v>
      </c>
      <c r="D16" t="s">
        <v>17</v>
      </c>
      <c r="H16" t="s">
        <v>80</v>
      </c>
      <c r="I16" t="s">
        <v>81</v>
      </c>
      <c r="K16" s="4"/>
      <c r="L16" s="2" t="s">
        <v>82</v>
      </c>
    </row>
    <row r="17" spans="1:17">
      <c r="A17" t="s">
        <v>83</v>
      </c>
      <c r="C17" t="s">
        <v>84</v>
      </c>
      <c r="D17" t="s">
        <v>17</v>
      </c>
      <c r="H17" t="s">
        <v>85</v>
      </c>
      <c r="I17" t="s">
        <v>86</v>
      </c>
      <c r="J17" s="2" t="s">
        <v>87</v>
      </c>
      <c r="K17" s="5">
        <f>'[10]Status of Parts'!$C$1</f>
        <v>0.36363636363636365</v>
      </c>
      <c r="L17" s="2" t="s">
        <v>88</v>
      </c>
    </row>
    <row r="18" spans="1:17">
      <c r="A18" t="s">
        <v>89</v>
      </c>
      <c r="C18" t="s">
        <v>90</v>
      </c>
      <c r="D18" t="s">
        <v>17</v>
      </c>
      <c r="F18" t="s">
        <v>18</v>
      </c>
      <c r="H18" t="s">
        <v>91</v>
      </c>
      <c r="I18" t="s">
        <v>92</v>
      </c>
      <c r="J18" s="2" t="s">
        <v>93</v>
      </c>
      <c r="K18" s="5">
        <f>'[11]Status of Parts'!$C$1</f>
        <v>0.68085106382978722</v>
      </c>
      <c r="L18" s="2" t="s">
        <v>94</v>
      </c>
      <c r="N18" t="s">
        <v>20</v>
      </c>
    </row>
    <row r="19" spans="1:17">
      <c r="A19" t="s">
        <v>95</v>
      </c>
      <c r="C19" t="s">
        <v>96</v>
      </c>
      <c r="D19" t="s">
        <v>17</v>
      </c>
      <c r="E19" t="s">
        <v>97</v>
      </c>
      <c r="F19" t="s">
        <v>21</v>
      </c>
      <c r="G19" s="9">
        <v>786.03200000000004</v>
      </c>
      <c r="H19" t="s">
        <v>98</v>
      </c>
      <c r="I19" t="s">
        <v>99</v>
      </c>
      <c r="J19" s="2"/>
      <c r="K19" s="5"/>
      <c r="L19" s="2" t="s">
        <v>100</v>
      </c>
      <c r="M19" s="2" t="s">
        <v>101</v>
      </c>
      <c r="N19" t="s">
        <v>20</v>
      </c>
    </row>
    <row r="20" spans="1:17">
      <c r="A20" t="s">
        <v>102</v>
      </c>
      <c r="C20" t="s">
        <v>25</v>
      </c>
      <c r="D20" t="s">
        <v>17</v>
      </c>
      <c r="H20" t="s">
        <v>103</v>
      </c>
      <c r="K20" s="4"/>
    </row>
    <row r="21" spans="1:17">
      <c r="A21" t="s">
        <v>104</v>
      </c>
      <c r="C21" t="s">
        <v>25</v>
      </c>
      <c r="D21" t="s">
        <v>17</v>
      </c>
      <c r="H21" t="s">
        <v>105</v>
      </c>
      <c r="K21" s="4"/>
    </row>
    <row r="22" spans="1:17">
      <c r="A22" t="s">
        <v>102</v>
      </c>
      <c r="C22" t="s">
        <v>25</v>
      </c>
      <c r="D22" t="s">
        <v>17</v>
      </c>
      <c r="H22" t="s">
        <v>106</v>
      </c>
      <c r="K22" s="4"/>
    </row>
    <row r="23" spans="1:17">
      <c r="A23" t="s">
        <v>104</v>
      </c>
      <c r="C23" t="s">
        <v>25</v>
      </c>
      <c r="D23" t="s">
        <v>17</v>
      </c>
      <c r="H23" t="s">
        <v>107</v>
      </c>
      <c r="K23" s="4"/>
    </row>
    <row r="24" spans="1:17">
      <c r="A24" t="s">
        <v>102</v>
      </c>
      <c r="C24" t="s">
        <v>25</v>
      </c>
      <c r="D24" t="s">
        <v>17</v>
      </c>
      <c r="H24" t="s">
        <v>108</v>
      </c>
      <c r="K24" s="4"/>
    </row>
    <row r="25" spans="1:17">
      <c r="A25" t="s">
        <v>104</v>
      </c>
      <c r="C25" t="s">
        <v>25</v>
      </c>
      <c r="D25" t="s">
        <v>17</v>
      </c>
      <c r="H25" t="s">
        <v>109</v>
      </c>
      <c r="K25" s="4"/>
    </row>
    <row r="26" spans="1:17">
      <c r="A26" t="s">
        <v>110</v>
      </c>
      <c r="C26" t="s">
        <v>111</v>
      </c>
      <c r="D26" t="s">
        <v>17</v>
      </c>
      <c r="H26" t="s">
        <v>112</v>
      </c>
      <c r="K26" s="4"/>
    </row>
    <row r="27" spans="1:17">
      <c r="A27" t="s">
        <v>14</v>
      </c>
      <c r="B27" t="s">
        <v>15</v>
      </c>
      <c r="C27" t="s">
        <v>16</v>
      </c>
      <c r="D27" t="s">
        <v>113</v>
      </c>
      <c r="F27" t="s">
        <v>114</v>
      </c>
      <c r="H27" t="s">
        <v>115</v>
      </c>
      <c r="K27" s="4"/>
      <c r="N27" t="s">
        <v>20</v>
      </c>
      <c r="P27" s="6" t="s">
        <v>116</v>
      </c>
      <c r="Q27" s="8" t="s">
        <v>117</v>
      </c>
    </row>
    <row r="28" spans="1:17">
      <c r="A28" t="s">
        <v>27</v>
      </c>
      <c r="C28" t="s">
        <v>118</v>
      </c>
      <c r="D28" t="s">
        <v>113</v>
      </c>
      <c r="F28" t="s">
        <v>119</v>
      </c>
      <c r="H28" t="s">
        <v>120</v>
      </c>
      <c r="K28" s="4"/>
      <c r="N28" t="s">
        <v>20</v>
      </c>
      <c r="Q28" s="7" t="s">
        <v>121</v>
      </c>
    </row>
    <row r="29" spans="1:17">
      <c r="A29" t="s">
        <v>27</v>
      </c>
      <c r="C29" t="s">
        <v>118</v>
      </c>
      <c r="D29" t="s">
        <v>113</v>
      </c>
      <c r="F29" t="s">
        <v>122</v>
      </c>
      <c r="H29" t="s">
        <v>123</v>
      </c>
      <c r="K29" s="4"/>
      <c r="N29" t="s">
        <v>20</v>
      </c>
      <c r="Q29" s="7" t="s">
        <v>121</v>
      </c>
    </row>
    <row r="30" spans="1:17">
      <c r="A30" t="s">
        <v>27</v>
      </c>
      <c r="C30" t="s">
        <v>118</v>
      </c>
      <c r="D30" t="s">
        <v>113</v>
      </c>
      <c r="F30" t="s">
        <v>124</v>
      </c>
      <c r="H30" t="s">
        <v>125</v>
      </c>
      <c r="K30" s="4"/>
      <c r="N30" t="s">
        <v>20</v>
      </c>
      <c r="Q30" s="7" t="s">
        <v>121</v>
      </c>
    </row>
    <row r="31" spans="1:17">
      <c r="A31" t="s">
        <v>40</v>
      </c>
      <c r="C31" t="s">
        <v>41</v>
      </c>
      <c r="D31" t="s">
        <v>113</v>
      </c>
      <c r="H31" t="s">
        <v>126</v>
      </c>
      <c r="K31" s="4"/>
    </row>
    <row r="32" spans="1:17">
      <c r="A32" t="s">
        <v>40</v>
      </c>
      <c r="C32" t="s">
        <v>41</v>
      </c>
      <c r="D32" t="s">
        <v>113</v>
      </c>
      <c r="H32" t="s">
        <v>127</v>
      </c>
      <c r="K32" s="4"/>
    </row>
    <row r="33" spans="1:17">
      <c r="A33" t="s">
        <v>40</v>
      </c>
      <c r="C33" t="s">
        <v>41</v>
      </c>
      <c r="D33" t="s">
        <v>113</v>
      </c>
      <c r="H33" t="s">
        <v>128</v>
      </c>
      <c r="K33" s="4"/>
    </row>
    <row r="34" spans="1:17">
      <c r="A34" t="s">
        <v>40</v>
      </c>
      <c r="C34" t="s">
        <v>41</v>
      </c>
      <c r="D34" t="s">
        <v>113</v>
      </c>
      <c r="H34" t="s">
        <v>129</v>
      </c>
      <c r="K34" s="4"/>
    </row>
    <row r="35" spans="1:17">
      <c r="A35" t="s">
        <v>55</v>
      </c>
      <c r="B35" t="s">
        <v>15</v>
      </c>
      <c r="C35" t="s">
        <v>25</v>
      </c>
      <c r="D35" t="s">
        <v>113</v>
      </c>
      <c r="H35" t="s">
        <v>130</v>
      </c>
      <c r="K35" s="4"/>
    </row>
    <row r="36" spans="1:17">
      <c r="A36" t="s">
        <v>60</v>
      </c>
      <c r="C36" t="s">
        <v>131</v>
      </c>
      <c r="D36" t="s">
        <v>113</v>
      </c>
      <c r="F36" t="s">
        <v>114</v>
      </c>
      <c r="H36" t="s">
        <v>132</v>
      </c>
      <c r="K36" s="4"/>
      <c r="N36" t="s">
        <v>20</v>
      </c>
      <c r="Q36" s="7" t="s">
        <v>133</v>
      </c>
    </row>
    <row r="37" spans="1:17">
      <c r="A37" t="s">
        <v>66</v>
      </c>
      <c r="C37" t="s">
        <v>67</v>
      </c>
      <c r="D37" t="s">
        <v>113</v>
      </c>
      <c r="H37" t="s">
        <v>134</v>
      </c>
      <c r="K37" s="4"/>
    </row>
    <row r="38" spans="1:17">
      <c r="A38" t="s">
        <v>78</v>
      </c>
      <c r="C38" t="s">
        <v>135</v>
      </c>
      <c r="D38" t="s">
        <v>113</v>
      </c>
      <c r="H38" t="s">
        <v>136</v>
      </c>
      <c r="K38" s="4"/>
    </row>
    <row r="39" spans="1:17">
      <c r="A39" t="s">
        <v>137</v>
      </c>
      <c r="C39" t="s">
        <v>138</v>
      </c>
      <c r="D39" t="s">
        <v>113</v>
      </c>
      <c r="H39" t="s">
        <v>139</v>
      </c>
      <c r="K39" s="4"/>
    </row>
    <row r="40" spans="1:17">
      <c r="A40" t="s">
        <v>83</v>
      </c>
      <c r="C40" t="s">
        <v>84</v>
      </c>
      <c r="D40" t="s">
        <v>113</v>
      </c>
      <c r="H40" t="s">
        <v>140</v>
      </c>
      <c r="K40" s="4"/>
    </row>
    <row r="41" spans="1:17">
      <c r="A41" t="s">
        <v>89</v>
      </c>
      <c r="C41" t="s">
        <v>141</v>
      </c>
      <c r="D41" t="s">
        <v>113</v>
      </c>
      <c r="F41" t="s">
        <v>114</v>
      </c>
      <c r="H41" t="s">
        <v>142</v>
      </c>
      <c r="K41" s="4"/>
      <c r="N41" t="s">
        <v>20</v>
      </c>
      <c r="Q41" s="7" t="s">
        <v>143</v>
      </c>
    </row>
    <row r="42" spans="1:17">
      <c r="A42" t="s">
        <v>144</v>
      </c>
      <c r="C42" t="s">
        <v>25</v>
      </c>
      <c r="D42" t="s">
        <v>113</v>
      </c>
      <c r="K42" s="4"/>
    </row>
    <row r="43" spans="1:17">
      <c r="A43" t="s">
        <v>144</v>
      </c>
      <c r="C43" t="s">
        <v>25</v>
      </c>
      <c r="D43" t="s">
        <v>113</v>
      </c>
      <c r="K43" s="4"/>
    </row>
    <row r="44" spans="1:17">
      <c r="A44" t="s">
        <v>144</v>
      </c>
      <c r="C44" t="s">
        <v>25</v>
      </c>
      <c r="D44" t="s">
        <v>113</v>
      </c>
      <c r="K44" s="4"/>
    </row>
    <row r="45" spans="1:17">
      <c r="A45" t="s">
        <v>110</v>
      </c>
      <c r="C45" t="s">
        <v>111</v>
      </c>
      <c r="D45" t="s">
        <v>113</v>
      </c>
      <c r="H45" t="s">
        <v>145</v>
      </c>
      <c r="K45" s="4"/>
    </row>
    <row r="46" spans="1:17">
      <c r="A46" t="s">
        <v>14</v>
      </c>
      <c r="B46" t="s">
        <v>15</v>
      </c>
      <c r="C46" t="s">
        <v>16</v>
      </c>
      <c r="D46" t="s">
        <v>146</v>
      </c>
      <c r="F46" t="s">
        <v>147</v>
      </c>
      <c r="H46" t="s">
        <v>148</v>
      </c>
      <c r="K46" s="4"/>
      <c r="N46" t="s">
        <v>20</v>
      </c>
      <c r="P46" s="6" t="s">
        <v>149</v>
      </c>
      <c r="Q46" s="8" t="s">
        <v>150</v>
      </c>
    </row>
    <row r="47" spans="1:17">
      <c r="A47" t="s">
        <v>14</v>
      </c>
      <c r="B47" t="s">
        <v>15</v>
      </c>
      <c r="C47" t="s">
        <v>16</v>
      </c>
      <c r="D47" t="s">
        <v>146</v>
      </c>
      <c r="F47" t="s">
        <v>147</v>
      </c>
      <c r="H47" t="s">
        <v>151</v>
      </c>
      <c r="K47" s="4"/>
      <c r="N47" t="s">
        <v>20</v>
      </c>
      <c r="P47" s="6" t="s">
        <v>149</v>
      </c>
      <c r="Q47" s="8" t="s">
        <v>150</v>
      </c>
    </row>
    <row r="48" spans="1:17">
      <c r="A48" t="s">
        <v>24</v>
      </c>
      <c r="B48" t="s">
        <v>15</v>
      </c>
      <c r="C48" t="s">
        <v>25</v>
      </c>
      <c r="D48" t="s">
        <v>146</v>
      </c>
      <c r="H48" t="s">
        <v>152</v>
      </c>
      <c r="K48" s="4"/>
    </row>
    <row r="49" spans="1:17">
      <c r="A49" t="s">
        <v>27</v>
      </c>
      <c r="C49" t="s">
        <v>28</v>
      </c>
      <c r="D49" t="s">
        <v>146</v>
      </c>
      <c r="F49" t="s">
        <v>153</v>
      </c>
      <c r="H49" t="s">
        <v>154</v>
      </c>
      <c r="K49" s="4"/>
      <c r="N49" t="s">
        <v>20</v>
      </c>
      <c r="Q49" s="7" t="s">
        <v>155</v>
      </c>
    </row>
    <row r="50" spans="1:17">
      <c r="A50" t="s">
        <v>27</v>
      </c>
      <c r="C50" t="s">
        <v>28</v>
      </c>
      <c r="D50" t="s">
        <v>146</v>
      </c>
      <c r="F50" t="s">
        <v>147</v>
      </c>
      <c r="H50" t="s">
        <v>156</v>
      </c>
      <c r="K50" s="4"/>
      <c r="N50" t="s">
        <v>20</v>
      </c>
      <c r="Q50" s="7" t="s">
        <v>155</v>
      </c>
    </row>
    <row r="51" spans="1:17">
      <c r="A51" t="s">
        <v>27</v>
      </c>
      <c r="C51" t="s">
        <v>28</v>
      </c>
      <c r="D51" t="s">
        <v>146</v>
      </c>
      <c r="F51" t="s">
        <v>147</v>
      </c>
      <c r="H51" t="s">
        <v>157</v>
      </c>
      <c r="K51" s="4"/>
      <c r="N51" t="s">
        <v>20</v>
      </c>
      <c r="Q51" s="7" t="s">
        <v>155</v>
      </c>
    </row>
    <row r="52" spans="1:17">
      <c r="A52" t="s">
        <v>40</v>
      </c>
      <c r="C52" t="s">
        <v>41</v>
      </c>
      <c r="D52" t="s">
        <v>146</v>
      </c>
      <c r="H52" t="s">
        <v>158</v>
      </c>
      <c r="K52" s="4"/>
    </row>
    <row r="53" spans="1:17">
      <c r="A53" t="s">
        <v>40</v>
      </c>
      <c r="C53" t="s">
        <v>41</v>
      </c>
      <c r="D53" t="s">
        <v>146</v>
      </c>
      <c r="H53" t="s">
        <v>159</v>
      </c>
      <c r="K53" s="4"/>
    </row>
    <row r="54" spans="1:17">
      <c r="A54" t="s">
        <v>40</v>
      </c>
      <c r="C54" t="s">
        <v>41</v>
      </c>
      <c r="D54" t="s">
        <v>146</v>
      </c>
      <c r="H54" t="s">
        <v>160</v>
      </c>
      <c r="K54" s="4"/>
    </row>
    <row r="55" spans="1:17">
      <c r="A55" t="s">
        <v>40</v>
      </c>
      <c r="C55" t="s">
        <v>41</v>
      </c>
      <c r="D55" t="s">
        <v>146</v>
      </c>
      <c r="H55" t="s">
        <v>161</v>
      </c>
      <c r="K55" s="4"/>
    </row>
    <row r="56" spans="1:17">
      <c r="A56" t="s">
        <v>55</v>
      </c>
      <c r="B56" t="s">
        <v>15</v>
      </c>
      <c r="C56" t="s">
        <v>25</v>
      </c>
      <c r="D56" t="s">
        <v>146</v>
      </c>
      <c r="H56" t="s">
        <v>162</v>
      </c>
      <c r="K56" s="4"/>
    </row>
    <row r="57" spans="1:17">
      <c r="A57" t="s">
        <v>60</v>
      </c>
      <c r="C57" t="s">
        <v>61</v>
      </c>
      <c r="D57" t="s">
        <v>146</v>
      </c>
      <c r="F57" t="s">
        <v>147</v>
      </c>
      <c r="H57" t="s">
        <v>163</v>
      </c>
      <c r="K57" s="4"/>
      <c r="N57" t="s">
        <v>20</v>
      </c>
      <c r="Q57" s="7" t="s">
        <v>164</v>
      </c>
    </row>
    <row r="58" spans="1:17">
      <c r="A58" t="s">
        <v>66</v>
      </c>
      <c r="C58" t="s">
        <v>67</v>
      </c>
      <c r="D58" t="s">
        <v>146</v>
      </c>
      <c r="H58" t="s">
        <v>165</v>
      </c>
      <c r="K58" s="4"/>
    </row>
    <row r="59" spans="1:17">
      <c r="A59" t="s">
        <v>66</v>
      </c>
      <c r="C59" t="s">
        <v>67</v>
      </c>
      <c r="D59" t="s">
        <v>146</v>
      </c>
      <c r="H59" t="s">
        <v>166</v>
      </c>
      <c r="K59" s="4"/>
    </row>
    <row r="60" spans="1:17">
      <c r="A60" t="s">
        <v>78</v>
      </c>
      <c r="C60" t="s">
        <v>167</v>
      </c>
      <c r="D60" t="s">
        <v>146</v>
      </c>
      <c r="K60" s="4"/>
    </row>
    <row r="61" spans="1:17">
      <c r="A61" t="s">
        <v>137</v>
      </c>
      <c r="C61" t="s">
        <v>168</v>
      </c>
      <c r="D61" t="s">
        <v>146</v>
      </c>
      <c r="K61" s="4"/>
    </row>
    <row r="62" spans="1:17">
      <c r="A62" t="s">
        <v>83</v>
      </c>
      <c r="C62" t="s">
        <v>84</v>
      </c>
      <c r="D62" t="s">
        <v>146</v>
      </c>
      <c r="H62" t="s">
        <v>169</v>
      </c>
      <c r="K62" s="4"/>
    </row>
    <row r="63" spans="1:17">
      <c r="A63" t="s">
        <v>89</v>
      </c>
      <c r="C63" t="s">
        <v>141</v>
      </c>
      <c r="D63" t="s">
        <v>146</v>
      </c>
      <c r="F63" t="s">
        <v>147</v>
      </c>
      <c r="H63" t="s">
        <v>170</v>
      </c>
      <c r="K63" s="4"/>
      <c r="N63" t="s">
        <v>20</v>
      </c>
      <c r="Q63" s="7" t="s">
        <v>171</v>
      </c>
    </row>
    <row r="64" spans="1:17">
      <c r="A64" t="s">
        <v>144</v>
      </c>
      <c r="C64" t="s">
        <v>25</v>
      </c>
      <c r="D64" t="s">
        <v>146</v>
      </c>
      <c r="K64" s="4"/>
    </row>
    <row r="65" spans="1:17">
      <c r="A65" t="s">
        <v>144</v>
      </c>
      <c r="C65" t="s">
        <v>25</v>
      </c>
      <c r="D65" t="s">
        <v>146</v>
      </c>
      <c r="K65" s="4"/>
    </row>
    <row r="66" spans="1:17">
      <c r="A66" t="s">
        <v>144</v>
      </c>
      <c r="C66" t="s">
        <v>25</v>
      </c>
      <c r="D66" t="s">
        <v>146</v>
      </c>
      <c r="K66" s="4"/>
    </row>
    <row r="67" spans="1:17">
      <c r="A67" t="s">
        <v>144</v>
      </c>
      <c r="C67" t="s">
        <v>25</v>
      </c>
      <c r="D67" t="s">
        <v>146</v>
      </c>
      <c r="K67" s="4"/>
    </row>
    <row r="68" spans="1:17">
      <c r="A68" t="s">
        <v>110</v>
      </c>
      <c r="C68" t="s">
        <v>111</v>
      </c>
      <c r="D68" t="s">
        <v>146</v>
      </c>
      <c r="H68" t="s">
        <v>145</v>
      </c>
      <c r="K68" s="4"/>
    </row>
    <row r="69" spans="1:17">
      <c r="A69" t="s">
        <v>110</v>
      </c>
      <c r="C69" t="s">
        <v>111</v>
      </c>
      <c r="D69" t="s">
        <v>146</v>
      </c>
      <c r="K69" s="4"/>
    </row>
    <row r="70" spans="1:17">
      <c r="A70" t="s">
        <v>14</v>
      </c>
      <c r="B70" t="s">
        <v>15</v>
      </c>
      <c r="C70" t="s">
        <v>16</v>
      </c>
      <c r="D70" t="s">
        <v>172</v>
      </c>
      <c r="F70" t="s">
        <v>124</v>
      </c>
      <c r="H70" t="s">
        <v>173</v>
      </c>
      <c r="K70" s="4"/>
      <c r="N70" t="s">
        <v>20</v>
      </c>
      <c r="Q70" s="8" t="s">
        <v>174</v>
      </c>
    </row>
    <row r="71" spans="1:17">
      <c r="A71" t="s">
        <v>14</v>
      </c>
      <c r="B71" t="s">
        <v>15</v>
      </c>
      <c r="C71" t="s">
        <v>16</v>
      </c>
      <c r="D71" t="s">
        <v>172</v>
      </c>
      <c r="F71" t="s">
        <v>175</v>
      </c>
      <c r="H71" t="s">
        <v>176</v>
      </c>
      <c r="K71" s="4"/>
      <c r="N71" t="s">
        <v>20</v>
      </c>
      <c r="Q71" s="8" t="s">
        <v>174</v>
      </c>
    </row>
    <row r="72" spans="1:17">
      <c r="A72" t="s">
        <v>27</v>
      </c>
      <c r="C72" t="s">
        <v>28</v>
      </c>
      <c r="D72" t="s">
        <v>172</v>
      </c>
      <c r="F72" t="s">
        <v>177</v>
      </c>
      <c r="H72" t="s">
        <v>178</v>
      </c>
      <c r="K72" s="4"/>
      <c r="N72" t="s">
        <v>20</v>
      </c>
      <c r="Q72" s="7" t="s">
        <v>179</v>
      </c>
    </row>
    <row r="73" spans="1:17">
      <c r="A73" t="s">
        <v>27</v>
      </c>
      <c r="C73" t="s">
        <v>28</v>
      </c>
      <c r="D73" t="s">
        <v>172</v>
      </c>
      <c r="F73" t="s">
        <v>177</v>
      </c>
      <c r="H73" t="s">
        <v>180</v>
      </c>
      <c r="K73" s="4"/>
      <c r="N73" t="s">
        <v>20</v>
      </c>
      <c r="Q73" s="7" t="s">
        <v>179</v>
      </c>
    </row>
    <row r="74" spans="1:17">
      <c r="A74" t="s">
        <v>27</v>
      </c>
      <c r="C74" t="s">
        <v>28</v>
      </c>
      <c r="D74" t="s">
        <v>172</v>
      </c>
      <c r="F74" t="s">
        <v>122</v>
      </c>
      <c r="H74" t="s">
        <v>181</v>
      </c>
      <c r="K74" s="4"/>
      <c r="N74" t="s">
        <v>20</v>
      </c>
      <c r="Q74" s="7" t="s">
        <v>179</v>
      </c>
    </row>
    <row r="75" spans="1:17">
      <c r="A75" t="s">
        <v>27</v>
      </c>
      <c r="C75" t="s">
        <v>28</v>
      </c>
      <c r="D75" t="s">
        <v>172</v>
      </c>
      <c r="F75" t="s">
        <v>175</v>
      </c>
      <c r="H75" t="s">
        <v>182</v>
      </c>
      <c r="K75" s="4"/>
      <c r="N75" t="s">
        <v>20</v>
      </c>
      <c r="Q75" s="7" t="s">
        <v>179</v>
      </c>
    </row>
    <row r="76" spans="1:17">
      <c r="A76" t="s">
        <v>27</v>
      </c>
      <c r="C76" t="s">
        <v>118</v>
      </c>
      <c r="D76" t="s">
        <v>172</v>
      </c>
      <c r="K76" s="4"/>
      <c r="N76" t="s">
        <v>20</v>
      </c>
      <c r="Q76" s="7" t="s">
        <v>179</v>
      </c>
    </row>
    <row r="77" spans="1:17">
      <c r="A77" t="s">
        <v>40</v>
      </c>
      <c r="C77" t="s">
        <v>41</v>
      </c>
      <c r="D77" t="s">
        <v>172</v>
      </c>
      <c r="G77" t="s">
        <v>183</v>
      </c>
      <c r="H77" t="s">
        <v>184</v>
      </c>
      <c r="K77" s="4"/>
    </row>
    <row r="78" spans="1:17">
      <c r="A78" t="s">
        <v>40</v>
      </c>
      <c r="C78" t="s">
        <v>41</v>
      </c>
      <c r="D78" t="s">
        <v>172</v>
      </c>
      <c r="G78" t="s">
        <v>183</v>
      </c>
      <c r="H78" t="s">
        <v>185</v>
      </c>
      <c r="K78" s="4"/>
    </row>
    <row r="79" spans="1:17">
      <c r="A79" t="s">
        <v>40</v>
      </c>
      <c r="C79" t="s">
        <v>41</v>
      </c>
      <c r="D79" t="s">
        <v>172</v>
      </c>
      <c r="G79" t="s">
        <v>183</v>
      </c>
      <c r="H79" t="s">
        <v>186</v>
      </c>
      <c r="K79" s="4"/>
    </row>
    <row r="80" spans="1:17">
      <c r="A80" t="s">
        <v>40</v>
      </c>
      <c r="C80" t="s">
        <v>41</v>
      </c>
      <c r="D80" t="s">
        <v>172</v>
      </c>
      <c r="G80" t="s">
        <v>187</v>
      </c>
      <c r="H80" t="s">
        <v>188</v>
      </c>
      <c r="K80" s="4"/>
    </row>
    <row r="81" spans="1:17">
      <c r="A81" t="s">
        <v>40</v>
      </c>
      <c r="C81" t="s">
        <v>41</v>
      </c>
      <c r="D81" t="s">
        <v>172</v>
      </c>
      <c r="G81" t="s">
        <v>187</v>
      </c>
      <c r="H81" t="s">
        <v>189</v>
      </c>
      <c r="K81" s="4"/>
    </row>
    <row r="82" spans="1:17">
      <c r="A82" t="s">
        <v>40</v>
      </c>
      <c r="C82" t="s">
        <v>41</v>
      </c>
      <c r="D82" t="s">
        <v>172</v>
      </c>
      <c r="G82" t="s">
        <v>190</v>
      </c>
      <c r="H82" t="s">
        <v>191</v>
      </c>
      <c r="K82" s="4"/>
    </row>
    <row r="83" spans="1:17">
      <c r="A83" t="s">
        <v>40</v>
      </c>
      <c r="C83" t="s">
        <v>41</v>
      </c>
      <c r="D83" t="s">
        <v>172</v>
      </c>
      <c r="K83" s="4"/>
    </row>
    <row r="84" spans="1:17">
      <c r="A84" t="s">
        <v>55</v>
      </c>
      <c r="B84" t="s">
        <v>15</v>
      </c>
      <c r="C84" t="s">
        <v>25</v>
      </c>
      <c r="D84" t="s">
        <v>172</v>
      </c>
      <c r="H84" t="s">
        <v>192</v>
      </c>
      <c r="K84" s="4"/>
    </row>
    <row r="85" spans="1:17">
      <c r="A85" t="s">
        <v>58</v>
      </c>
      <c r="B85" t="s">
        <v>15</v>
      </c>
      <c r="C85" t="s">
        <v>25</v>
      </c>
      <c r="D85" t="s">
        <v>172</v>
      </c>
      <c r="H85" t="s">
        <v>193</v>
      </c>
      <c r="K85" s="4"/>
    </row>
    <row r="86" spans="1:17">
      <c r="A86" t="s">
        <v>60</v>
      </c>
      <c r="C86" t="s">
        <v>61</v>
      </c>
      <c r="D86" t="s">
        <v>172</v>
      </c>
      <c r="F86" t="s">
        <v>175</v>
      </c>
      <c r="H86" t="s">
        <v>194</v>
      </c>
      <c r="K86" s="4"/>
      <c r="N86" t="s">
        <v>20</v>
      </c>
      <c r="Q86" s="7" t="s">
        <v>195</v>
      </c>
    </row>
    <row r="87" spans="1:17">
      <c r="A87" t="s">
        <v>66</v>
      </c>
      <c r="C87" t="s">
        <v>67</v>
      </c>
      <c r="D87" t="s">
        <v>172</v>
      </c>
      <c r="H87" t="s">
        <v>196</v>
      </c>
      <c r="K87" s="4"/>
    </row>
    <row r="88" spans="1:17">
      <c r="A88" t="s">
        <v>66</v>
      </c>
      <c r="C88" t="s">
        <v>67</v>
      </c>
      <c r="D88" t="s">
        <v>172</v>
      </c>
      <c r="H88" t="s">
        <v>197</v>
      </c>
      <c r="K88" s="4"/>
    </row>
    <row r="89" spans="1:17">
      <c r="A89" t="s">
        <v>137</v>
      </c>
      <c r="C89" t="s">
        <v>168</v>
      </c>
      <c r="D89" t="s">
        <v>172</v>
      </c>
      <c r="H89" t="s">
        <v>198</v>
      </c>
      <c r="K89" s="4"/>
    </row>
    <row r="90" spans="1:17">
      <c r="A90" t="s">
        <v>83</v>
      </c>
      <c r="C90" t="s">
        <v>84</v>
      </c>
      <c r="D90" t="s">
        <v>172</v>
      </c>
      <c r="H90" t="s">
        <v>199</v>
      </c>
      <c r="K90" s="4"/>
    </row>
    <row r="91" spans="1:17">
      <c r="A91" t="s">
        <v>89</v>
      </c>
      <c r="C91" t="s">
        <v>141</v>
      </c>
      <c r="D91" t="s">
        <v>172</v>
      </c>
      <c r="F91" t="s">
        <v>124</v>
      </c>
      <c r="H91" t="s">
        <v>200</v>
      </c>
      <c r="K91" s="4"/>
      <c r="N91" t="s">
        <v>20</v>
      </c>
      <c r="Q91" s="7" t="s">
        <v>201</v>
      </c>
    </row>
    <row r="92" spans="1:17">
      <c r="A92" t="s">
        <v>102</v>
      </c>
      <c r="C92" t="s">
        <v>25</v>
      </c>
      <c r="D92" t="s">
        <v>172</v>
      </c>
      <c r="H92" t="s">
        <v>202</v>
      </c>
      <c r="K92" s="4"/>
    </row>
    <row r="93" spans="1:17">
      <c r="A93" t="s">
        <v>104</v>
      </c>
      <c r="C93" t="s">
        <v>25</v>
      </c>
      <c r="D93" t="s">
        <v>172</v>
      </c>
      <c r="H93" t="s">
        <v>203</v>
      </c>
      <c r="K93" s="4"/>
    </row>
    <row r="94" spans="1:17">
      <c r="A94" t="s">
        <v>102</v>
      </c>
      <c r="C94" t="s">
        <v>25</v>
      </c>
      <c r="D94" t="s">
        <v>172</v>
      </c>
      <c r="H94" t="s">
        <v>204</v>
      </c>
      <c r="K94" s="4"/>
    </row>
    <row r="95" spans="1:17">
      <c r="A95" t="s">
        <v>104</v>
      </c>
      <c r="C95" t="s">
        <v>25</v>
      </c>
      <c r="D95" t="s">
        <v>172</v>
      </c>
      <c r="H95" t="s">
        <v>205</v>
      </c>
      <c r="K95" s="4"/>
    </row>
    <row r="96" spans="1:17">
      <c r="A96" t="s">
        <v>102</v>
      </c>
      <c r="C96" t="s">
        <v>25</v>
      </c>
      <c r="D96" t="s">
        <v>172</v>
      </c>
      <c r="H96" t="s">
        <v>206</v>
      </c>
      <c r="K96" s="4"/>
    </row>
    <row r="97" spans="1:11">
      <c r="A97" t="s">
        <v>104</v>
      </c>
      <c r="C97" t="s">
        <v>25</v>
      </c>
      <c r="D97" t="s">
        <v>172</v>
      </c>
      <c r="H97" t="s">
        <v>207</v>
      </c>
      <c r="K97" s="4"/>
    </row>
    <row r="98" spans="1:11">
      <c r="A98" t="s">
        <v>102</v>
      </c>
      <c r="C98" t="s">
        <v>25</v>
      </c>
      <c r="D98" t="s">
        <v>172</v>
      </c>
      <c r="H98" t="s">
        <v>208</v>
      </c>
      <c r="K98" s="4"/>
    </row>
    <row r="99" spans="1:11">
      <c r="A99" t="s">
        <v>104</v>
      </c>
      <c r="C99" t="s">
        <v>25</v>
      </c>
      <c r="D99" t="s">
        <v>172</v>
      </c>
      <c r="H99" t="s">
        <v>209</v>
      </c>
      <c r="K99" s="4"/>
    </row>
    <row r="100" spans="1:11">
      <c r="A100" t="s">
        <v>102</v>
      </c>
      <c r="C100" t="s">
        <v>25</v>
      </c>
      <c r="D100" t="s">
        <v>172</v>
      </c>
      <c r="H100" t="s">
        <v>210</v>
      </c>
      <c r="K100" s="4"/>
    </row>
    <row r="101" spans="1:11">
      <c r="A101" t="s">
        <v>104</v>
      </c>
      <c r="C101" t="s">
        <v>25</v>
      </c>
      <c r="D101" t="s">
        <v>172</v>
      </c>
      <c r="H101" t="s">
        <v>211</v>
      </c>
      <c r="K101" s="4"/>
    </row>
    <row r="102" spans="1:11">
      <c r="A102" t="s">
        <v>102</v>
      </c>
      <c r="C102" t="s">
        <v>25</v>
      </c>
      <c r="D102" t="s">
        <v>172</v>
      </c>
      <c r="K102" s="4"/>
    </row>
    <row r="103" spans="1:11">
      <c r="A103" t="s">
        <v>104</v>
      </c>
      <c r="C103" t="s">
        <v>25</v>
      </c>
      <c r="D103" t="s">
        <v>172</v>
      </c>
      <c r="K103" s="4"/>
    </row>
    <row r="104" spans="1:11">
      <c r="A104" t="s">
        <v>110</v>
      </c>
      <c r="C104" t="s">
        <v>111</v>
      </c>
      <c r="D104" t="s">
        <v>172</v>
      </c>
      <c r="H104" t="s">
        <v>212</v>
      </c>
      <c r="K104" s="4"/>
    </row>
  </sheetData>
  <hyperlinks>
    <hyperlink ref="L18" r:id="rId1" xr:uid="{72AA8072-BE85-42C7-9590-3445817A308A}"/>
    <hyperlink ref="L8" r:id="rId2" xr:uid="{15BF08E3-76DA-4A50-BED8-E62A467CB2BB}"/>
    <hyperlink ref="L14" r:id="rId3" xr:uid="{B2E2C0BD-B652-485D-8B8C-2E3700C9E84F}"/>
    <hyperlink ref="L5" r:id="rId4" xr:uid="{B633F4EF-F1E7-4C97-979D-C00D14E0F889}"/>
    <hyperlink ref="L13" r:id="rId5" xr:uid="{CBC45B5E-C77E-4BCE-9D52-B9E53BC2FE49}"/>
    <hyperlink ref="L15" r:id="rId6" xr:uid="{8E878C42-FF3E-497A-8EAE-D8FA7F761FB8}"/>
    <hyperlink ref="L10" r:id="rId7" xr:uid="{AC2C2C3D-7FAE-4758-9A8C-69B4CE3F6283}"/>
    <hyperlink ref="L16" r:id="rId8" xr:uid="{035546D6-B498-4E6E-8842-3B80AD1FB9D6}"/>
    <hyperlink ref="L17" r:id="rId9" xr:uid="{937C2763-9731-4565-8C6C-948A04BBDD17}"/>
    <hyperlink ref="J14" r:id="rId10" xr:uid="{9DD89E16-00C8-4810-9C3E-7B0E366EFEC0}"/>
    <hyperlink ref="J18" r:id="rId11" xr:uid="{A559F4CD-BE84-4015-9476-99842867A59E}"/>
    <hyperlink ref="J5" r:id="rId12" xr:uid="{4074FC61-9D84-40C7-88EE-F4471E7F80DC}"/>
    <hyperlink ref="J13" r:id="rId13" xr:uid="{A68D17D9-99DE-43BF-B9C3-14E92774FCD5}"/>
    <hyperlink ref="J8" r:id="rId14" xr:uid="{76865DE8-EDE9-4DB3-A324-CE215C81169C}"/>
    <hyperlink ref="J17" r:id="rId15" xr:uid="{8E7C4D41-D41D-4618-A7AB-24385161DE51}"/>
    <hyperlink ref="J15" r:id="rId16" xr:uid="{EA3A18BD-7AE7-4E5E-8D3D-781DA00C378D}"/>
    <hyperlink ref="J10" r:id="rId17" xr:uid="{704FDC08-70DE-414D-8449-48FBB65423E5}"/>
    <hyperlink ref="J7" r:id="rId18" xr:uid="{9D484731-5983-46DA-87B7-2EB19CCD18D1}"/>
    <hyperlink ref="J6" r:id="rId19" xr:uid="{65D4643F-CA7D-4C38-8D40-04DD2FCCF698}"/>
    <hyperlink ref="J9" r:id="rId20" xr:uid="{C23EAB77-4C39-48D4-AA63-2D2A689DDC0C}"/>
    <hyperlink ref="L19" r:id="rId21" display="https://slac.sharepoint.com/sites/pub/Publications/Forms/LCLSIIHE%20Plans%20and%20Procedures.aspx?id=%2Fsites%2Fpub%2FPublications%2FLCLSII%2DHE%2D1%2E4%2DPP%2D0914%2Epdf&amp;viewid=4b6b8ff4%2Df9ad%2D4ddb%2Db4fd%2Deed47d7de9f1&amp;parent=%2Fsites%2Fpub%2FPublications" xr:uid="{60404AB6-73D3-49BC-9AF0-3731C4E88E54}"/>
    <hyperlink ref="M19" r:id="rId22" xr:uid="{C55BCC03-CE2B-470F-A395-9D57E6078163}"/>
  </hyperlinks>
  <printOptions gridLines="1"/>
  <pageMargins left="0.25" right="0.25" top="0.75" bottom="0.75" header="0.3" footer="0.3"/>
  <pageSetup paperSize="3" scale="63" fitToHeight="0" orientation="landscape" r:id="rId2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2C80-68D7-471F-9CAA-64CD05F510E1}">
  <sheetPr codeName="Sheet2"/>
  <dimension ref="A1:B4"/>
  <sheetViews>
    <sheetView workbookViewId="0">
      <selection activeCell="B1" sqref="B1"/>
    </sheetView>
  </sheetViews>
  <sheetFormatPr defaultRowHeight="15"/>
  <sheetData>
    <row r="1" spans="1:2">
      <c r="A1" t="s">
        <v>17</v>
      </c>
      <c r="B1" s="2" t="s">
        <v>213</v>
      </c>
    </row>
    <row r="2" spans="1:2">
      <c r="A2" t="s">
        <v>113</v>
      </c>
      <c r="B2" s="2" t="s">
        <v>214</v>
      </c>
    </row>
    <row r="3" spans="1:2">
      <c r="A3" t="s">
        <v>146</v>
      </c>
      <c r="B3" s="2" t="s">
        <v>215</v>
      </c>
    </row>
    <row r="4" spans="1:2">
      <c r="A4" t="s">
        <v>172</v>
      </c>
      <c r="B4" s="2" t="s">
        <v>216</v>
      </c>
    </row>
  </sheetData>
  <hyperlinks>
    <hyperlink ref="B1" r:id="rId1" xr:uid="{15D268C6-30A6-4794-8917-98E3324C07CB}"/>
    <hyperlink ref="B2" r:id="rId2" xr:uid="{57F6B3DE-6554-41A7-A23E-1F88B90DBDC4}"/>
    <hyperlink ref="B3" r:id="rId3" display="https://slac.sharepoint.com/:x:/r/sites/lcls/lcls-2-he/exp/shared_docs/Experimental Systems/CXI/Control/CXI hardware list.xlsx?d=w108fa96d9c5746d2937d2d3f24c7ea9a&amp;csf=1&amp;web=1&amp;e=GuJpjG" xr:uid="{D53A53F1-7740-41B6-BFA6-6982BE73D546}"/>
    <hyperlink ref="B4" r:id="rId4" display="https://slac.sharepoint.com/:x:/r/sites/lcls/lcls-2-he/exp/shared_docs/Experimental Systems/DXS/Engineering/Layout/Functional Layout.xlsx?d=wa90dc83128ac4a44a11c330222ce3745&amp;csf=1&amp;web=1&amp;e=PtQb1g" xr:uid="{24027F57-69C1-43F5-9451-FA2DA72B0F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9251-DC61-4607-9840-B588CAD33CB8}">
  <sheetPr codeName="Sheet3">
    <pageSetUpPr fitToPage="1"/>
  </sheetPr>
  <dimension ref="A1:I15"/>
  <sheetViews>
    <sheetView workbookViewId="0">
      <selection activeCell="B15" sqref="B15"/>
    </sheetView>
  </sheetViews>
  <sheetFormatPr defaultRowHeight="15"/>
  <cols>
    <col min="1" max="1" width="18.7109375" customWidth="1"/>
    <col min="2" max="2" width="15" customWidth="1"/>
    <col min="3" max="3" width="35.5703125" customWidth="1"/>
    <col min="4" max="4" width="23" bestFit="1" customWidth="1"/>
    <col min="5" max="5" width="15.5703125" bestFit="1" customWidth="1"/>
    <col min="6" max="6" width="16.7109375" customWidth="1"/>
    <col min="7" max="7" width="32" customWidth="1"/>
    <col min="8" max="8" width="14.28515625" bestFit="1" customWidth="1"/>
  </cols>
  <sheetData>
    <row r="1" spans="1:9">
      <c r="A1" s="1" t="s">
        <v>7</v>
      </c>
      <c r="B1" s="1" t="s">
        <v>8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I1" t="s">
        <v>222</v>
      </c>
    </row>
    <row r="2" spans="1:9">
      <c r="A2" t="s">
        <v>30</v>
      </c>
      <c r="B2" t="s">
        <v>31</v>
      </c>
      <c r="C2" t="str">
        <f>CONCATENATE(A2," ",Table1[[#Headers],[Kitting BOM]])</f>
        <v>EM3L0 Kitting BOM</v>
      </c>
      <c r="D2" t="str">
        <f>CONCATENATE(A2," ",Table1[[#Headers],[Assembly Traveler]])</f>
        <v>EM3L0 Assembly Traveler</v>
      </c>
      <c r="E2" t="str" cm="1">
        <f t="array" ref="E2">IFERROR(INDEX(RIGHT('[12]By Hutches'!$G:$G,4),MATCH(A2,'[12]By Hutches'!$D:$D,0)),"Not an asset")</f>
        <v>0744</v>
      </c>
      <c r="F2" t="str">
        <f>CONCATENATE(A2," ",Table1[[#Headers],[Folder]])</f>
        <v>EM3L0 Folder</v>
      </c>
      <c r="G2" t="str">
        <f>CONCATENATE(A2," - ",Table1[[#This Row],[ServiceNow ID]]," - ",Table1[[#This Row],[Traveler Last 4]])</f>
        <v>EM3L0 - LDVC0003994 - 0744</v>
      </c>
    </row>
    <row r="3" spans="1:9">
      <c r="A3" t="s">
        <v>34</v>
      </c>
      <c r="B3" t="s">
        <v>35</v>
      </c>
      <c r="C3" t="str">
        <f>CONCATENATE(A3," ",Table1[[#Headers],[Kitting BOM]])</f>
        <v>EM1L2 Kitting BOM</v>
      </c>
      <c r="D3" t="str">
        <f>CONCATENATE(A3," ",Table1[[#Headers],[Assembly Traveler]])</f>
        <v>EM1L2 Assembly Traveler</v>
      </c>
      <c r="E3" t="str" cm="1">
        <f t="array" ref="E3">IFERROR(INDEX(RIGHT('[12]By Hutches'!$G:$G,4),MATCH(A3,'[12]By Hutches'!$D:$D,0)),"Not an asset")</f>
        <v/>
      </c>
      <c r="F3" t="str">
        <f>CONCATENATE(A3," ",Table1[[#Headers],[Folder]])</f>
        <v>EM1L2 Folder</v>
      </c>
      <c r="G3" t="str">
        <f>CONCATENATE(A3," - ",Table1[[#This Row],[ServiceNow ID]]," - ",Table1[[#This Row],[Traveler Last 4]])</f>
        <v xml:space="preserve">EM1L2 - LDVC0003995 - </v>
      </c>
    </row>
    <row r="4" spans="1:9">
      <c r="A4" t="s">
        <v>37</v>
      </c>
      <c r="B4" t="s">
        <v>38</v>
      </c>
      <c r="C4" t="str">
        <f>CONCATENATE(A4," ",Table1[[#Headers],[Kitting BOM]])</f>
        <v>EM2L2 Kitting BOM</v>
      </c>
      <c r="D4" t="str">
        <f>CONCATENATE(A4," ",Table1[[#Headers],[Assembly Traveler]])</f>
        <v>EM2L2 Assembly Traveler</v>
      </c>
      <c r="E4" t="str" cm="1">
        <f t="array" ref="E4">IFERROR(INDEX(RIGHT('[12]By Hutches'!$G:$G,4),MATCH(A4,'[12]By Hutches'!$D:$D,0)),"Not an asset")</f>
        <v/>
      </c>
      <c r="F4" t="str">
        <f>CONCATENATE(A4," ",Table1[[#Headers],[Folder]])</f>
        <v>EM2L2 Folder</v>
      </c>
      <c r="G4" t="str">
        <f>CONCATENATE(A4," - ",Table1[[#This Row],[ServiceNow ID]]," - ",Table1[[#This Row],[Traveler Last 4]])</f>
        <v xml:space="preserve">EM2L2 - LDVC0003996 - </v>
      </c>
    </row>
    <row r="5" spans="1:9">
      <c r="A5" t="s">
        <v>42</v>
      </c>
      <c r="B5" t="s">
        <v>43</v>
      </c>
      <c r="C5" t="str">
        <f>CONCATENATE(A5," ",Table1[[#Headers],[Kitting BOM]])</f>
        <v>IM5L0 Kitting BOM</v>
      </c>
      <c r="D5" t="str">
        <f>CONCATENATE(A5," ",Table1[[#Headers],[Assembly Traveler]])</f>
        <v>IM5L0 Assembly Traveler</v>
      </c>
      <c r="E5" t="str" cm="1">
        <f t="array" ref="E5">IFERROR(INDEX(RIGHT('[12]By Hutches'!$G:$G,4),MATCH(A5,'[12]By Hutches'!$D:$D,0)),"Not an asset")</f>
        <v>0708</v>
      </c>
      <c r="F5" t="str">
        <f>CONCATENATE(A5," ",Table1[[#Headers],[Folder]])</f>
        <v>IM5L0 Folder</v>
      </c>
      <c r="G5" t="str">
        <f>CONCATENATE(A5," - ",Table1[[#This Row],[ServiceNow ID]]," - ",Table1[[#This Row],[Traveler Last 4]])</f>
        <v>IM5L0 - LDVC0003997 - 0708</v>
      </c>
    </row>
    <row r="6" spans="1:9">
      <c r="A6" t="s">
        <v>46</v>
      </c>
      <c r="B6" t="s">
        <v>47</v>
      </c>
      <c r="C6" t="str">
        <f>CONCATENATE(A6," ",Table1[[#Headers],[Kitting BOM]])</f>
        <v>IM2L2 Kitting BOM</v>
      </c>
      <c r="D6" t="str">
        <f>CONCATENATE(A6," ",Table1[[#Headers],[Assembly Traveler]])</f>
        <v>IM2L2 Assembly Traveler</v>
      </c>
      <c r="E6" t="str" cm="1">
        <f t="array" ref="E6">IFERROR(INDEX(RIGHT('[12]By Hutches'!$G:$G,4),MATCH(A6,'[12]By Hutches'!$D:$D,0)),"Not an asset")</f>
        <v>1327</v>
      </c>
      <c r="F6" t="str">
        <f>CONCATENATE(A6," ",Table1[[#Headers],[Folder]])</f>
        <v>IM2L2 Folder</v>
      </c>
      <c r="G6" t="str">
        <f>CONCATENATE(A6," - ",Table1[[#This Row],[ServiceNow ID]]," - ",Table1[[#This Row],[Traveler Last 4]])</f>
        <v>IM2L2 - LDVC0003998 - 1327</v>
      </c>
    </row>
    <row r="7" spans="1:9">
      <c r="A7" t="s">
        <v>51</v>
      </c>
      <c r="B7" t="s">
        <v>52</v>
      </c>
      <c r="C7" t="str">
        <f>CONCATENATE(A7," ",Table1[[#Headers],[Kitting BOM]])</f>
        <v>IM1L2 Kitting BOM</v>
      </c>
      <c r="D7" t="str">
        <f>CONCATENATE(A7," ",Table1[[#Headers],[Assembly Traveler]])</f>
        <v>IM1L2 Assembly Traveler</v>
      </c>
      <c r="E7" t="str" cm="1">
        <f t="array" ref="E7">IFERROR(INDEX(RIGHT('[12]By Hutches'!$G:$G,4),MATCH(A7,'[12]By Hutches'!$D:$D,0)),"Not an asset")</f>
        <v>0754</v>
      </c>
      <c r="F7" t="str">
        <f>CONCATENATE(A7," ",Table1[[#Headers],[Folder]])</f>
        <v>IM1L2 Folder</v>
      </c>
      <c r="G7" t="str">
        <f>CONCATENATE(A7," - ",Table1[[#This Row],[ServiceNow ID]]," - ",Table1[[#This Row],[Traveler Last 4]])</f>
        <v>IM1L2 - LDVC0003999 - 0754</v>
      </c>
    </row>
    <row r="8" spans="1:9">
      <c r="A8" t="s">
        <v>62</v>
      </c>
      <c r="B8" t="s">
        <v>63</v>
      </c>
      <c r="C8" t="str">
        <f>CONCATENATE(A8," ",Table1[[#Headers],[Kitting BOM]])</f>
        <v>TM1L2 Kitting BOM</v>
      </c>
      <c r="D8" t="str">
        <f>CONCATENATE(A8," ",Table1[[#Headers],[Assembly Traveler]])</f>
        <v>TM1L2 Assembly Traveler</v>
      </c>
      <c r="E8" t="str" cm="1">
        <f t="array" ref="E8">IFERROR(INDEX(RIGHT('[12]By Hutches'!$G:$G,4),MATCH(A8,'[12]By Hutches'!$D:$D,0)),"Not an asset")</f>
        <v>0745</v>
      </c>
      <c r="F8" t="str">
        <f>CONCATENATE(A8," ",Table1[[#Headers],[Folder]])</f>
        <v>TM1L2 Folder</v>
      </c>
      <c r="G8" t="str">
        <f>CONCATENATE(A8," - ",Table1[[#This Row],[ServiceNow ID]]," - ",Table1[[#This Row],[Traveler Last 4]])</f>
        <v>TM1L2 - LDVC0004000 - 0745</v>
      </c>
    </row>
    <row r="9" spans="1:9">
      <c r="A9" t="s">
        <v>68</v>
      </c>
      <c r="B9" t="s">
        <v>69</v>
      </c>
      <c r="C9" t="str">
        <f>CONCATENATE(A9," ",Table1[[#Headers],[Kitting BOM]])</f>
        <v>PF2L2 Kitting BOM</v>
      </c>
      <c r="D9" t="str">
        <f>CONCATENATE(A9," ",Table1[[#Headers],[Assembly Traveler]])</f>
        <v>PF2L2 Assembly Traveler</v>
      </c>
      <c r="E9" t="str" cm="1">
        <f t="array" ref="E9">IFERROR(INDEX(RIGHT('[12]By Hutches'!$G:$G,4),MATCH(A9,'[12]By Hutches'!$D:$D,0)),"Not an asset")</f>
        <v>0743</v>
      </c>
      <c r="F9" t="str">
        <f>CONCATENATE(A9," ",Table1[[#Headers],[Folder]])</f>
        <v>PF2L2 Folder</v>
      </c>
      <c r="G9" t="str">
        <f>CONCATENATE(A9," - ",Table1[[#This Row],[ServiceNow ID]]," - ",Table1[[#This Row],[Traveler Last 4]])</f>
        <v>PF2L2 - LDVC0004001 - 0743</v>
      </c>
    </row>
    <row r="10" spans="1:9">
      <c r="A10" t="s">
        <v>74</v>
      </c>
      <c r="B10" t="s">
        <v>75</v>
      </c>
      <c r="C10" t="str">
        <f>CONCATENATE(A10," ",Table1[[#Headers],[Kitting BOM]])</f>
        <v>PF2L0 Kitting BOM</v>
      </c>
      <c r="D10" t="str">
        <f>CONCATENATE(A10," ",Table1[[#Headers],[Assembly Traveler]])</f>
        <v>PF2L0 Assembly Traveler</v>
      </c>
      <c r="E10" t="str" cm="1">
        <f t="array" ref="E10">IFERROR(INDEX(RIGHT('[12]By Hutches'!$G:$G,4),MATCH(A10,'[12]By Hutches'!$D:$D,0)),"Not an asset")</f>
        <v>0749</v>
      </c>
      <c r="F10" t="str">
        <f>CONCATENATE(A10," ",Table1[[#Headers],[Folder]])</f>
        <v>PF2L0 Folder</v>
      </c>
      <c r="G10" t="str">
        <f>CONCATENATE(A10," - ",Table1[[#This Row],[ServiceNow ID]]," - ",Table1[[#This Row],[Traveler Last 4]])</f>
        <v>PF2L0 - LDVC0004002 - 0749</v>
      </c>
    </row>
    <row r="11" spans="1:9">
      <c r="A11" t="s">
        <v>80</v>
      </c>
      <c r="B11" t="s">
        <v>81</v>
      </c>
      <c r="C11" t="str">
        <f>CONCATENATE(A11," ",Table1[[#Headers],[Kitting BOM]])</f>
        <v>PF1L2 Kitting BOM</v>
      </c>
      <c r="D11" t="str">
        <f>CONCATENATE(A11," ",Table1[[#Headers],[Assembly Traveler]])</f>
        <v>PF1L2 Assembly Traveler</v>
      </c>
      <c r="E11" t="str" cm="1">
        <f t="array" ref="E11">IFERROR(INDEX(RIGHT('[12]By Hutches'!$G:$G,4),MATCH(A11,'[12]By Hutches'!$D:$D,0)),"Not an asset")</f>
        <v>1178</v>
      </c>
      <c r="F11" t="str">
        <f>CONCATENATE(A11," ",Table1[[#Headers],[Folder]])</f>
        <v>PF1L2 Folder</v>
      </c>
      <c r="G11" t="str">
        <f>CONCATENATE(A11," - ",Table1[[#This Row],[ServiceNow ID]]," - ",Table1[[#This Row],[Traveler Last 4]])</f>
        <v>PF1L2 - LDVC0004003 - 1178</v>
      </c>
    </row>
    <row r="12" spans="1:9">
      <c r="A12" t="s">
        <v>85</v>
      </c>
      <c r="B12" t="s">
        <v>86</v>
      </c>
      <c r="C12" t="str">
        <f>CONCATENATE(A12," ",Table1[[#Headers],[Kitting BOM]])</f>
        <v>SF1L2 Kitting BOM</v>
      </c>
      <c r="D12" t="str">
        <f>CONCATENATE(A12," ",Table1[[#Headers],[Assembly Traveler]])</f>
        <v>SF1L2 Assembly Traveler</v>
      </c>
      <c r="E12" t="str" cm="1">
        <f t="array" ref="E12">IFERROR(INDEX(RIGHT('[12]By Hutches'!$G:$G,4),MATCH(A12,'[12]By Hutches'!$D:$D,0)),"Not an asset")</f>
        <v>1179</v>
      </c>
      <c r="F12" t="str">
        <f>CONCATENATE(A12," ",Table1[[#Headers],[Folder]])</f>
        <v>SF1L2 Folder</v>
      </c>
      <c r="G12" t="str">
        <f>CONCATENATE(A12," - ",Table1[[#This Row],[ServiceNow ID]]," - ",Table1[[#This Row],[Traveler Last 4]])</f>
        <v>SF1L2 - LDVC0004004 - 1179</v>
      </c>
    </row>
    <row r="13" spans="1:9">
      <c r="A13" t="s">
        <v>91</v>
      </c>
      <c r="B13" t="s">
        <v>92</v>
      </c>
      <c r="C13" t="str">
        <f>CONCATENATE(A13," ",Table1[[#Headers],[Kitting BOM]])</f>
        <v>AL1L0 Kitting BOM</v>
      </c>
      <c r="D13" t="str">
        <f>CONCATENATE(A13," ",Table1[[#Headers],[Assembly Traveler]])</f>
        <v>AL1L0 Assembly Traveler</v>
      </c>
      <c r="E13" t="str" cm="1">
        <f t="array" ref="E13">IFERROR(INDEX(RIGHT('[12]By Hutches'!$G:$G,4),MATCH(A13,'[12]By Hutches'!$D:$D,0)),"Not an asset")</f>
        <v>1196</v>
      </c>
      <c r="F13" t="str">
        <f>CONCATENATE(A13," ",Table1[[#Headers],[Folder]])</f>
        <v>AL1L0 Folder</v>
      </c>
      <c r="G13" t="str">
        <f>CONCATENATE(A13," - ",Table1[[#This Row],[ServiceNow ID]]," - ",Table1[[#This Row],[Traveler Last 4]])</f>
        <v>AL1L0 - LDVC0004005 - 1196</v>
      </c>
    </row>
    <row r="15" spans="1:9" ht="76.5">
      <c r="A15" s="3" t="s">
        <v>223</v>
      </c>
      <c r="B15" s="3" t="s">
        <v>224</v>
      </c>
    </row>
  </sheetData>
  <pageMargins left="0.7" right="0.7" top="0.75" bottom="0.75" header="0.3" footer="0.3"/>
  <pageSetup scale="47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ADEFE207FAAA408926E5810146D541" ma:contentTypeVersion="49" ma:contentTypeDescription="Create a new document." ma:contentTypeScope="" ma:versionID="235a73ae431cdd98cf6d2c1966c60918">
  <xsd:schema xmlns:xsd="http://www.w3.org/2001/XMLSchema" xmlns:xs="http://www.w3.org/2001/XMLSchema" xmlns:p="http://schemas.microsoft.com/office/2006/metadata/properties" xmlns:ns2="fe365dc4-193a-46f5-9f04-97d8f77f9a47" xmlns:ns3="http://schemas.microsoft.com/sharepoint/v4" xmlns:ns4="891c90e7-7d13-43f3-b940-a07d68e13b76" targetNamespace="http://schemas.microsoft.com/office/2006/metadata/properties" ma:root="true" ma:fieldsID="9e143561edf1c28fb2705d61c2e7485e" ns2:_="" ns3:_="" ns4:_="">
    <xsd:import namespace="fe365dc4-193a-46f5-9f04-97d8f77f9a47"/>
    <xsd:import namespace="http://schemas.microsoft.com/sharepoint/v4"/>
    <xsd:import namespace="891c90e7-7d13-43f3-b940-a07d68e13b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IconOverlay" minOccurs="0"/>
                <xsd:element ref="ns2:MediaLengthInSeconds" minOccurs="0"/>
                <xsd:element ref="ns4:SharedWithUsers" minOccurs="0"/>
                <xsd:element ref="ns4:SharedWithDetails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65dc4-193a-46f5-9f04-97d8f77f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7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c90e7-7d13-43f3-b940-a07d68e13b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365dc4-193a-46f5-9f04-97d8f77f9a4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C81B9-2519-4B50-BE4B-64D88351AB65}"/>
</file>

<file path=customXml/itemProps2.xml><?xml version="1.0" encoding="utf-8"?>
<ds:datastoreItem xmlns:ds="http://schemas.openxmlformats.org/officeDocument/2006/customXml" ds:itemID="{556C228A-99CB-4A83-81E8-9F7212F4451E}"/>
</file>

<file path=customXml/itemProps3.xml><?xml version="1.0" encoding="utf-8"?>
<ds:datastoreItem xmlns:ds="http://schemas.openxmlformats.org/officeDocument/2006/customXml" ds:itemID="{F93E1350-A3A1-4765-9154-0058F40C7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Roylo, Leinani</dc:creator>
  <cp:keywords/>
  <dc:description/>
  <cp:lastModifiedBy>Roylo, Leinani</cp:lastModifiedBy>
  <cp:revision/>
  <dcterms:created xsi:type="dcterms:W3CDTF">2024-04-17T15:40:40Z</dcterms:created>
  <dcterms:modified xsi:type="dcterms:W3CDTF">2025-06-30T16:50:27Z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0x01010039ADEFE207FAAA408926E5810146D541</vt:lpwstr>
  </property>
  <property fmtid="{D5CDD505-2E9C-101B-9397-08002B2CF9AE}" pid="3" name="MediaServiceImageTags">
    <vt:lpwstr/>
  </property>
  <property fmtid="{D5CDD505-2E9C-101B-9397-08002B2CF9AE}" pid="4" name="TaxCatchAll">
    <vt:lpwstr/>
  </property>
</Properties>
</file>